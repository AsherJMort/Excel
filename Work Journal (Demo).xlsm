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Applications/Documents/"/>
    </mc:Choice>
  </mc:AlternateContent>
  <xr:revisionPtr revIDLastSave="0" documentId="13_ncr:1_{0E0B6D45-224E-3649-9D86-783BA92DF6F4}" xr6:coauthVersionLast="47" xr6:coauthVersionMax="47" xr10:uidLastSave="{00000000-0000-0000-0000-000000000000}"/>
  <bookViews>
    <workbookView xWindow="0" yWindow="500" windowWidth="28800" windowHeight="16340" xr2:uid="{44A36116-2F8D-CE4D-9F08-86C9481DAC0D}"/>
  </bookViews>
  <sheets>
    <sheet name="Work Journal" sheetId="2" r:id="rId1"/>
    <sheet name="Work Journal Entries" sheetId="3" r:id="rId2"/>
    <sheet name="Data" sheetId="4" state="hidden" r:id="rId3"/>
  </sheets>
  <definedNames>
    <definedName name="_xleta.INDEX" hidden="1" xlm="1">#NAME?</definedName>
    <definedName name="_xleta.MATCH" hidden="1" xlm="1">#NAME?</definedName>
    <definedName name="_xleta.MAX" hidden="1" xlm="1">#NAME?</definedName>
    <definedName name="Flip">"Triangle 3,Minus 4"</definedName>
    <definedName name="FLIP_BUTTON">"Triangle 3,Minus 4"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4" l="1" a="1"/>
  <c r="C2" i="4"/>
  <c r="D2" i="4" a="1"/>
  <c r="D2" i="4"/>
  <c r="E2" i="4" a="1"/>
  <c r="E2" i="4"/>
  <c r="F3" i="4"/>
  <c r="N3" i="4"/>
  <c r="U3" i="4"/>
  <c r="Z3" i="4" a="1"/>
  <c r="Z3" i="4"/>
  <c r="AB3" i="4" a="1"/>
  <c r="AB3" i="4"/>
  <c r="F4" i="4"/>
  <c r="L4" i="4"/>
  <c r="S4" i="4"/>
  <c r="U4" i="4"/>
  <c r="W4" i="4"/>
  <c r="AB4" i="4" a="1"/>
  <c r="AB4" i="4"/>
  <c r="U5" i="4"/>
  <c r="AB5" i="4" a="1"/>
  <c r="AB5" i="4"/>
  <c r="F6" i="4"/>
  <c r="I6" i="4"/>
  <c r="U6" i="4"/>
  <c r="W6" i="4"/>
  <c r="AB6" i="4" a="1"/>
  <c r="AB6" i="4"/>
  <c r="AL6" i="4" a="1"/>
  <c r="AL6" i="4"/>
  <c r="H7" i="4"/>
  <c r="U7" i="4"/>
  <c r="AB7" i="4" a="1"/>
  <c r="AB7" i="4"/>
  <c r="AD7" i="4"/>
  <c r="AE7" i="4"/>
  <c r="AF7" i="4"/>
  <c r="AG7" i="4"/>
  <c r="AH7" i="4"/>
  <c r="U8" i="4"/>
  <c r="AB8" i="4" a="1"/>
  <c r="AB8" i="4"/>
  <c r="U9" i="4"/>
  <c r="AB9" i="4" a="1"/>
  <c r="AB9" i="4"/>
  <c r="U10" i="4"/>
  <c r="AB10" i="4" a="1"/>
  <c r="AB10" i="4"/>
  <c r="U11" i="4"/>
  <c r="AB11" i="4" a="1"/>
  <c r="AB11" i="4"/>
  <c r="U12" i="4"/>
  <c r="AB12" i="4" a="1"/>
  <c r="AB12" i="4"/>
  <c r="U13" i="4"/>
  <c r="AB13" i="4" a="1"/>
  <c r="AB13" i="4"/>
  <c r="U14" i="4"/>
  <c r="AB14" i="4" a="1"/>
  <c r="AB14" i="4"/>
  <c r="AB15" i="4" a="1"/>
  <c r="AB15" i="4"/>
  <c r="AB16" i="4" a="1"/>
  <c r="AB16" i="4"/>
  <c r="AB17" i="4" a="1"/>
  <c r="AB17" i="4"/>
  <c r="AB18" i="4" a="1"/>
  <c r="AB18" i="4"/>
  <c r="AB19" i="4" a="1"/>
  <c r="AB19" i="4"/>
  <c r="AB20" i="4" a="1"/>
  <c r="AB20" i="4"/>
  <c r="AB21" i="4" a="1"/>
  <c r="AB21" i="4"/>
  <c r="AB22" i="4" a="1"/>
  <c r="AB22" i="4"/>
  <c r="AB23" i="4" a="1"/>
  <c r="AB23" i="4"/>
  <c r="AB24" i="4" a="1"/>
  <c r="AB24" i="4"/>
  <c r="AB25" i="4" a="1"/>
  <c r="AB25" i="4"/>
  <c r="AB26" i="4" a="1"/>
  <c r="AB26" i="4"/>
  <c r="AB27" i="4" a="1"/>
  <c r="AB27" i="4"/>
  <c r="AB28" i="4" a="1"/>
  <c r="AB28" i="4"/>
  <c r="AB29" i="4" a="1"/>
  <c r="AB29" i="4"/>
  <c r="AB30" i="4" a="1"/>
  <c r="AB30" i="4"/>
  <c r="AB31" i="4" a="1"/>
  <c r="AB31" i="4"/>
  <c r="AB32" i="4" a="1"/>
  <c r="AB32" i="4"/>
  <c r="AB33" i="4" a="1"/>
  <c r="AB33" i="4"/>
  <c r="AB34" i="4" a="1"/>
  <c r="AB34" i="4"/>
  <c r="AB35" i="4" a="1"/>
  <c r="AB35" i="4"/>
  <c r="AB36" i="4" a="1"/>
  <c r="AB36" i="4"/>
  <c r="AB37" i="4" a="1"/>
  <c r="AB37" i="4"/>
  <c r="AB38" i="4" a="1"/>
  <c r="AB38" i="4"/>
  <c r="AB39" i="4" a="1"/>
  <c r="AB39" i="4"/>
  <c r="AB40" i="4" a="1"/>
  <c r="AB40" i="4"/>
  <c r="AB41" i="4" a="1"/>
  <c r="AB41" i="4"/>
  <c r="AB42" i="4" a="1"/>
  <c r="AB42" i="4"/>
  <c r="AB43" i="4" a="1"/>
  <c r="AB43" i="4"/>
  <c r="AB44" i="4" a="1"/>
  <c r="AB44" i="4"/>
  <c r="AB45" i="4" a="1"/>
  <c r="AB45" i="4"/>
  <c r="AB46" i="4" a="1"/>
  <c r="AB46" i="4"/>
  <c r="AB47" i="4" a="1"/>
  <c r="AB47" i="4"/>
  <c r="AB48" i="4" a="1"/>
  <c r="AB48" i="4"/>
  <c r="AB49" i="4" a="1"/>
  <c r="AB49" i="4"/>
  <c r="AB50" i="4" a="1"/>
  <c r="AB50" i="4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AZ3" i="3"/>
  <c r="BA3" i="3"/>
  <c r="BB3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DE3" i="3"/>
  <c r="DF3" i="3"/>
  <c r="DG3" i="3"/>
  <c r="DH3" i="3"/>
  <c r="DI3" i="3"/>
  <c r="DJ3" i="3"/>
  <c r="DK3" i="3"/>
  <c r="DL3" i="3"/>
  <c r="DM3" i="3"/>
  <c r="DN3" i="3"/>
  <c r="DO3" i="3"/>
  <c r="DP3" i="3"/>
  <c r="DQ3" i="3"/>
  <c r="DR3" i="3"/>
  <c r="DS3" i="3"/>
  <c r="DT3" i="3"/>
  <c r="DU3" i="3"/>
  <c r="DV3" i="3"/>
  <c r="DW3" i="3"/>
  <c r="DX3" i="3"/>
  <c r="DY3" i="3"/>
  <c r="DZ3" i="3"/>
  <c r="EA3" i="3"/>
  <c r="EB3" i="3"/>
  <c r="EC3" i="3"/>
  <c r="ED3" i="3"/>
  <c r="EE3" i="3"/>
  <c r="EF3" i="3"/>
  <c r="EG3" i="3"/>
  <c r="EH3" i="3"/>
  <c r="EI3" i="3"/>
  <c r="EJ3" i="3"/>
  <c r="EK3" i="3"/>
  <c r="EL3" i="3"/>
  <c r="EM3" i="3"/>
  <c r="EN3" i="3"/>
  <c r="EO3" i="3"/>
  <c r="EP3" i="3"/>
  <c r="EQ3" i="3"/>
  <c r="ER3" i="3"/>
  <c r="ES3" i="3"/>
  <c r="ET3" i="3"/>
  <c r="EU3" i="3"/>
  <c r="EV3" i="3"/>
  <c r="EW3" i="3"/>
  <c r="EX3" i="3"/>
  <c r="EY3" i="3"/>
  <c r="EZ3" i="3"/>
  <c r="FA3" i="3"/>
  <c r="FB3" i="3"/>
  <c r="FC3" i="3"/>
  <c r="FD3" i="3"/>
  <c r="FE3" i="3"/>
  <c r="FF3" i="3"/>
  <c r="FG3" i="3"/>
  <c r="FH3" i="3"/>
  <c r="FI3" i="3"/>
  <c r="FJ3" i="3"/>
  <c r="FK3" i="3"/>
  <c r="FL3" i="3"/>
  <c r="FM3" i="3"/>
  <c r="FN3" i="3"/>
  <c r="FO3" i="3"/>
  <c r="FP3" i="3"/>
  <c r="FQ3" i="3"/>
  <c r="FR3" i="3"/>
  <c r="FS3" i="3"/>
  <c r="FT3" i="3"/>
  <c r="FU3" i="3"/>
  <c r="FV3" i="3"/>
  <c r="FW3" i="3"/>
  <c r="FX3" i="3"/>
  <c r="FY3" i="3"/>
  <c r="FZ3" i="3"/>
  <c r="GA3" i="3"/>
  <c r="GB3" i="3"/>
  <c r="GC3" i="3"/>
  <c r="GD3" i="3"/>
  <c r="GE3" i="3"/>
  <c r="GF3" i="3"/>
  <c r="GG3" i="3"/>
  <c r="GH3" i="3"/>
  <c r="GI3" i="3"/>
  <c r="GJ3" i="3"/>
  <c r="GK3" i="3"/>
  <c r="GL3" i="3"/>
  <c r="GM3" i="3"/>
  <c r="GN3" i="3"/>
  <c r="GO3" i="3"/>
  <c r="GP3" i="3"/>
  <c r="GQ3" i="3"/>
  <c r="GR3" i="3"/>
  <c r="GS3" i="3"/>
  <c r="GT3" i="3"/>
  <c r="GU3" i="3"/>
  <c r="GV3" i="3"/>
  <c r="GW3" i="3"/>
  <c r="GX3" i="3"/>
  <c r="GY3" i="3"/>
  <c r="GZ3" i="3"/>
  <c r="HA3" i="3"/>
  <c r="HB3" i="3"/>
  <c r="HC3" i="3"/>
  <c r="HD3" i="3"/>
  <c r="HE3" i="3"/>
  <c r="HF3" i="3"/>
  <c r="HG3" i="3"/>
  <c r="HH3" i="3"/>
  <c r="HI3" i="3"/>
  <c r="HJ3" i="3"/>
  <c r="HK3" i="3"/>
  <c r="HL3" i="3"/>
  <c r="HM3" i="3"/>
  <c r="HN3" i="3"/>
  <c r="HO3" i="3"/>
  <c r="HP3" i="3"/>
  <c r="HQ3" i="3"/>
  <c r="HR3" i="3"/>
  <c r="HS3" i="3"/>
  <c r="HT3" i="3"/>
  <c r="HU3" i="3"/>
  <c r="HV3" i="3"/>
  <c r="HW3" i="3"/>
  <c r="HX3" i="3"/>
  <c r="HY3" i="3"/>
  <c r="HZ3" i="3"/>
  <c r="IA3" i="3"/>
  <c r="IB3" i="3"/>
  <c r="IC3" i="3"/>
  <c r="ID3" i="3"/>
  <c r="IE3" i="3"/>
  <c r="IF3" i="3"/>
  <c r="IG3" i="3"/>
  <c r="IH3" i="3"/>
  <c r="II3" i="3"/>
  <c r="IJ3" i="3"/>
  <c r="IK3" i="3"/>
  <c r="IL3" i="3"/>
  <c r="IM3" i="3"/>
  <c r="IN3" i="3"/>
  <c r="IO3" i="3"/>
  <c r="IP3" i="3"/>
  <c r="IQ3" i="3"/>
  <c r="IR3" i="3"/>
  <c r="IS3" i="3"/>
  <c r="IT3" i="3"/>
  <c r="IU3" i="3"/>
  <c r="IV3" i="3"/>
  <c r="IW3" i="3"/>
  <c r="IX3" i="3"/>
  <c r="IY3" i="3"/>
  <c r="IZ3" i="3"/>
  <c r="JA3" i="3"/>
  <c r="JB3" i="3"/>
  <c r="JC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<sst xmlns="http://schemas.openxmlformats.org/spreadsheetml/2006/main" count="92" uniqueCount="74">
  <si>
    <t>("Sat" &amp; "Sun" Dates Not Included)</t>
  </si>
  <si>
    <t>YEAR</t>
  </si>
  <si>
    <t>DAY</t>
  </si>
  <si>
    <t>September</t>
  </si>
  <si>
    <t>MONTH</t>
  </si>
  <si>
    <t>JUMP TO DATE:</t>
  </si>
  <si>
    <t>DATE/TIME</t>
  </si>
  <si>
    <t>December</t>
  </si>
  <si>
    <t>November</t>
  </si>
  <si>
    <t>Dec</t>
  </si>
  <si>
    <t>October</t>
  </si>
  <si>
    <t>Nov</t>
  </si>
  <si>
    <t>Oct</t>
  </si>
  <si>
    <t>August</t>
  </si>
  <si>
    <t>Sep</t>
  </si>
  <si>
    <t>July</t>
  </si>
  <si>
    <t>Aug</t>
  </si>
  <si>
    <t>June</t>
  </si>
  <si>
    <t>Jul</t>
  </si>
  <si>
    <t xml:space="preserve">Number of Rows to Add/Trim </t>
  </si>
  <si>
    <t>May</t>
  </si>
  <si>
    <t>ADD NEW CLIENT</t>
  </si>
  <si>
    <t>Jun</t>
  </si>
  <si>
    <t>STOP ROW</t>
  </si>
  <si>
    <t>April</t>
  </si>
  <si>
    <t>Client 3</t>
  </si>
  <si>
    <t>Client</t>
  </si>
  <si>
    <t># of Rows</t>
  </si>
  <si>
    <t>COST</t>
  </si>
  <si>
    <t>CELL LINK</t>
  </si>
  <si>
    <t>March</t>
  </si>
  <si>
    <t>INDEX</t>
  </si>
  <si>
    <t>Client 2</t>
  </si>
  <si>
    <t>FIND NEW</t>
  </si>
  <si>
    <t>Apr</t>
  </si>
  <si>
    <t>Row</t>
  </si>
  <si>
    <t>Client Page</t>
  </si>
  <si>
    <t>Data Input Row</t>
  </si>
  <si>
    <t>Insert Row</t>
  </si>
  <si>
    <t>February</t>
  </si>
  <si>
    <t>Client 1</t>
  </si>
  <si>
    <t>Mar</t>
  </si>
  <si>
    <t>Row Selected</t>
  </si>
  <si>
    <t>AMT</t>
  </si>
  <si>
    <t>January</t>
  </si>
  <si>
    <t>ID</t>
  </si>
  <si>
    <t>CLIENT</t>
  </si>
  <si>
    <t>Feb</t>
  </si>
  <si>
    <t>LAST ROW</t>
  </si>
  <si>
    <t>ORDER Clicked Col. G</t>
  </si>
  <si>
    <t>ORDER # CLICKED</t>
  </si>
  <si>
    <t>CLIENT PAGE CLICKED</t>
  </si>
  <si>
    <t xml:space="preserve">Daily Sales Tracker </t>
  </si>
  <si>
    <t>ORDER CHART ROW</t>
  </si>
  <si>
    <t>CLIENT ID</t>
  </si>
  <si>
    <t>CLIENT NAME</t>
  </si>
  <si>
    <t>Order #</t>
  </si>
  <si>
    <t>AMOUNT</t>
  </si>
  <si>
    <t>QTY AMOUNT</t>
  </si>
  <si>
    <t>ITEM BOX</t>
  </si>
  <si>
    <t>YEAR BOX</t>
  </si>
  <si>
    <t>DAY BOX</t>
  </si>
  <si>
    <t>MONTH BOX</t>
  </si>
  <si>
    <t>CLIENT BOX</t>
  </si>
  <si>
    <t>ADD NEW CLIENT #</t>
  </si>
  <si>
    <t>Jan</t>
  </si>
  <si>
    <t>Work Journal Entries</t>
  </si>
  <si>
    <t>Start Month (Gnatt)</t>
  </si>
  <si>
    <t>WRENCH</t>
  </si>
  <si>
    <t>HAMMER</t>
  </si>
  <si>
    <t>BUZZSAW</t>
  </si>
  <si>
    <t>SCREWDRIVER</t>
  </si>
  <si>
    <t>NAILS</t>
  </si>
  <si>
    <t>MEASURING TAPE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</si>
</sst>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8" x14ac:knownFonts="1">
    <font>
      <sz val="12"/>
      <color theme="1"/>
      <name val="Aptos Narrow"/>
      <family val="2"/>
      <scheme val="minor"/>
    </font>
    <font>
      <b/>
      <sz val="14"/>
      <color theme="0"/>
      <name val="Aptos Narrow"/>
      <scheme val="minor"/>
    </font>
    <font>
      <b/>
      <sz val="22"/>
      <color theme="7"/>
      <name val="Aptos Narrow"/>
      <scheme val="minor"/>
    </font>
    <font>
      <b/>
      <sz val="18"/>
      <color theme="0"/>
      <name val="Aptos Narrow"/>
      <scheme val="minor"/>
    </font>
    <font>
      <b/>
      <i/>
      <sz val="28"/>
      <color theme="0"/>
      <name val="Aptos Narrow"/>
      <scheme val="minor"/>
    </font>
    <font>
      <b/>
      <sz val="12"/>
      <color theme="0"/>
      <name val="Aptos Narrow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51">
    <border>
      <left/>
      <right/>
      <top/>
      <bottom/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double">
        <color theme="0"/>
      </bottom>
      <diagonal/>
    </border>
    <border>
      <left/>
      <right/>
      <top/>
      <bottom style="double">
        <color theme="0"/>
      </bottom>
      <diagonal/>
    </border>
    <border>
      <left style="medium">
        <color theme="0"/>
      </left>
      <right/>
      <top/>
      <bottom style="double">
        <color theme="0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medium">
        <color theme="0"/>
      </top>
      <bottom/>
      <diagonal/>
    </border>
    <border>
      <left/>
      <right style="thin">
        <color theme="0" tint="-0.14999847407452621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thin">
        <color theme="0" tint="-0.1499984740745262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thin">
        <color theme="1"/>
      </right>
      <top style="thin">
        <color theme="0" tint="-0.14999847407452621"/>
      </top>
      <bottom style="double">
        <color theme="1"/>
      </bottom>
      <diagonal/>
    </border>
    <border>
      <left style="medium">
        <color theme="0"/>
      </left>
      <right style="medium">
        <color theme="0"/>
      </right>
      <top style="thin">
        <color theme="0" tint="-0.14999847407452621"/>
      </top>
      <bottom style="double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0"/>
      </left>
      <right style="medium">
        <color theme="0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1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thin">
        <color theme="1"/>
      </right>
      <top style="medium">
        <color theme="0"/>
      </top>
      <bottom style="thin">
        <color theme="0" tint="-0.1499984740745262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thin">
        <color theme="0" tint="-0.1499984740745262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29">
    <xf numFmtId="0" fontId="0" fillId="0" borderId="0" xfId="0"/>
    <xf numFmtId="18" fontId="0" fillId="0" borderId="0" xfId="0" applyNumberFormat="1"/>
    <xf numFmtId="18" fontId="0" fillId="0" borderId="0" xfId="0" applyNumberFormat="1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0" xfId="0" applyFill="1"/>
    <xf numFmtId="0" fontId="0" fillId="2" borderId="11" xfId="0" applyFill="1" applyBorder="1"/>
    <xf numFmtId="0" fontId="0" fillId="2" borderId="0" xfId="0" applyFill="1" applyAlignment="1">
      <alignment horizontal="center"/>
    </xf>
    <xf numFmtId="0" fontId="0" fillId="2" borderId="14" xfId="0" applyFill="1" applyBorder="1"/>
    <xf numFmtId="0" fontId="0" fillId="2" borderId="12" xfId="0" applyFill="1" applyBorder="1"/>
    <xf numFmtId="0" fontId="0" fillId="2" borderId="16" xfId="0" applyFill="1" applyBorder="1"/>
    <xf numFmtId="0" fontId="0" fillId="5" borderId="17" xfId="0" applyFill="1" applyBorder="1"/>
    <xf numFmtId="0" fontId="0" fillId="5" borderId="18" xfId="0" applyFill="1" applyBorder="1"/>
    <xf numFmtId="18" fontId="5" fillId="4" borderId="19" xfId="0" applyNumberFormat="1" applyFont="1" applyFill="1" applyBorder="1" applyAlignment="1">
      <alignment horizontal="center" vertical="center"/>
    </xf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0" fillId="5" borderId="25" xfId="0" applyFill="1" applyBorder="1"/>
    <xf numFmtId="14" fontId="5" fillId="4" borderId="19" xfId="0" applyNumberFormat="1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/>
    <xf numFmtId="0" fontId="0" fillId="0" borderId="28" xfId="0" applyBorder="1"/>
    <xf numFmtId="0" fontId="0" fillId="0" borderId="29" xfId="0" applyBorder="1" applyAlignment="1">
      <alignment horizontal="center" vertical="center"/>
    </xf>
    <xf numFmtId="0" fontId="0" fillId="0" borderId="30" xfId="0" applyBorder="1"/>
    <xf numFmtId="14" fontId="0" fillId="0" borderId="0" xfId="0" applyNumberFormat="1"/>
    <xf numFmtId="0" fontId="0" fillId="0" borderId="31" xfId="0" applyBorder="1" applyAlignment="1">
      <alignment horizontal="center" vertical="center"/>
    </xf>
    <xf numFmtId="0" fontId="0" fillId="0" borderId="31" xfId="0" applyBorder="1"/>
    <xf numFmtId="0" fontId="0" fillId="0" borderId="0" xfId="0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 vertical="center"/>
    </xf>
    <xf numFmtId="0" fontId="0" fillId="0" borderId="32" xfId="0" applyBorder="1"/>
    <xf numFmtId="0" fontId="0" fillId="0" borderId="32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5" xfId="0" applyBorder="1"/>
    <xf numFmtId="0" fontId="0" fillId="0" borderId="28" xfId="0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5" fillId="3" borderId="37" xfId="0" applyFont="1" applyFill="1" applyBorder="1" applyAlignment="1">
      <alignment horizontal="right"/>
    </xf>
    <xf numFmtId="0" fontId="0" fillId="0" borderId="30" xfId="0" applyBorder="1" applyAlignment="1">
      <alignment horizontal="center" vertical="center"/>
    </xf>
    <xf numFmtId="0" fontId="6" fillId="0" borderId="26" xfId="0" applyFont="1" applyBorder="1" applyAlignment="1">
      <alignment vertical="center"/>
    </xf>
    <xf numFmtId="0" fontId="6" fillId="0" borderId="28" xfId="0" applyFont="1" applyBorder="1" applyAlignment="1">
      <alignment vertical="center"/>
    </xf>
    <xf numFmtId="0" fontId="0" fillId="0" borderId="38" xfId="0" applyBorder="1"/>
    <xf numFmtId="0" fontId="0" fillId="0" borderId="39" xfId="0" applyBorder="1"/>
    <xf numFmtId="0" fontId="5" fillId="3" borderId="40" xfId="0" applyFont="1" applyFill="1" applyBorder="1" applyAlignment="1">
      <alignment horizontal="right"/>
    </xf>
    <xf numFmtId="164" fontId="0" fillId="0" borderId="32" xfId="0" applyNumberFormat="1" applyBorder="1" applyAlignment="1">
      <alignment horizontal="center" vertical="center"/>
    </xf>
    <xf numFmtId="0" fontId="0" fillId="0" borderId="41" xfId="0" applyBorder="1"/>
    <xf numFmtId="0" fontId="0" fillId="0" borderId="42" xfId="0" applyBorder="1"/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3" borderId="43" xfId="0" applyFont="1" applyFill="1" applyBorder="1" applyAlignment="1">
      <alignment horizontal="right"/>
    </xf>
    <xf numFmtId="0" fontId="6" fillId="0" borderId="30" xfId="0" applyFont="1" applyBorder="1" applyAlignment="1">
      <alignment horizontal="center"/>
    </xf>
    <xf numFmtId="0" fontId="6" fillId="0" borderId="29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/>
    </xf>
    <xf numFmtId="0" fontId="6" fillId="0" borderId="32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/>
    </xf>
    <xf numFmtId="164" fontId="0" fillId="0" borderId="30" xfId="0" applyNumberForma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14" fontId="5" fillId="3" borderId="38" xfId="0" applyNumberFormat="1" applyFont="1" applyFill="1" applyBorder="1" applyAlignment="1">
      <alignment horizontal="center" vertical="center"/>
    </xf>
    <xf numFmtId="0" fontId="0" fillId="3" borderId="0" xfId="0" applyFill="1"/>
    <xf numFmtId="0" fontId="0" fillId="0" borderId="44" xfId="0" applyBorder="1" applyAlignment="1">
      <alignment horizontal="center" vertical="center"/>
    </xf>
    <xf numFmtId="0" fontId="0" fillId="0" borderId="45" xfId="0" applyBorder="1"/>
    <xf numFmtId="0" fontId="0" fillId="0" borderId="46" xfId="0" applyBorder="1"/>
    <xf numFmtId="0" fontId="6" fillId="0" borderId="35" xfId="0" applyFont="1" applyBorder="1" applyAlignment="1">
      <alignment horizontal="center"/>
    </xf>
    <xf numFmtId="0" fontId="0" fillId="0" borderId="42" xfId="0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6" xfId="0" applyFont="1" applyBorder="1"/>
    <xf numFmtId="0" fontId="6" fillId="0" borderId="48" xfId="0" applyFont="1" applyBorder="1"/>
    <xf numFmtId="0" fontId="6" fillId="0" borderId="38" xfId="0" applyFont="1" applyBorder="1"/>
    <xf numFmtId="0" fontId="0" fillId="3" borderId="49" xfId="0" applyFill="1" applyBorder="1"/>
    <xf numFmtId="0" fontId="6" fillId="0" borderId="36" xfId="0" applyFont="1" applyBorder="1" applyAlignment="1">
      <alignment horizontal="center"/>
    </xf>
    <xf numFmtId="0" fontId="0" fillId="0" borderId="50" xfId="0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16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4" fillId="4" borderId="16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0" fillId="0" borderId="48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1" xfId="0" applyBorder="1" applyAlignment="1">
      <alignment horizontal="center"/>
    </xf>
    <xf numFmtId="0" fontId="6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/>
    </xf>
    <xf numFmtId="0" fontId="6" fillId="0" borderId="47" xfId="0" applyFont="1" applyBorder="1" applyAlignment="1">
      <alignment horizontal="center"/>
    </xf>
    <xf numFmtId="0" fontId="6" fillId="0" borderId="4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11</xdr:col>
      <xdr:colOff>0</xdr:colOff>
      <xdr:row>61</xdr:row>
      <xdr:rowOff>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76CEF005-D581-E345-99A1-C1F663F34203}"/>
            </a:ext>
          </a:extLst>
        </xdr:cNvPr>
        <xdr:cNvSpPr/>
      </xdr:nvSpPr>
      <xdr:spPr>
        <a:xfrm>
          <a:off x="2476500" y="1016000"/>
          <a:ext cx="6604000" cy="11379200"/>
        </a:xfrm>
        <a:prstGeom prst="roundRect">
          <a:avLst/>
        </a:prstGeom>
        <a:solidFill>
          <a:schemeClr val="accent4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24</xdr:row>
      <xdr:rowOff>18406</xdr:rowOff>
    </xdr:from>
    <xdr:to>
      <xdr:col>6</xdr:col>
      <xdr:colOff>0</xdr:colOff>
      <xdr:row>27</xdr:row>
      <xdr:rowOff>0</xdr:rowOff>
    </xdr:to>
    <xdr:sp macro="" textlink="">
      <xdr:nvSpPr>
        <xdr:cNvPr id="3" name="9Box">
          <a:extLst>
            <a:ext uri="{FF2B5EF4-FFF2-40B4-BE49-F238E27FC236}">
              <a16:creationId xmlns:a16="http://schemas.microsoft.com/office/drawing/2014/main" id="{AA45E243-1725-9943-AF43-09D2464F989D}"/>
            </a:ext>
          </a:extLst>
        </xdr:cNvPr>
        <xdr:cNvSpPr/>
      </xdr:nvSpPr>
      <xdr:spPr>
        <a:xfrm>
          <a:off x="3302000" y="4895206"/>
          <a:ext cx="1651000" cy="591194"/>
        </a:xfrm>
        <a:prstGeom prst="rect">
          <a:avLst/>
        </a:prstGeom>
        <a:solidFill>
          <a:srgbClr val="FFA500"/>
        </a:solidFill>
        <a:ln w="38100">
          <a:solidFill>
            <a:schemeClr val="tx1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i="1">
              <a:solidFill>
                <a:schemeClr val="tx1"/>
              </a:solidFill>
            </a:rPr>
            <a:t>9:00</a:t>
          </a:r>
          <a:r>
            <a:rPr lang="en-US" sz="2400" b="1" i="1" baseline="0">
              <a:solidFill>
                <a:schemeClr val="tx1"/>
              </a:solidFill>
            </a:rPr>
            <a:t> AM</a:t>
          </a:r>
          <a:endParaRPr lang="en-US" sz="2400" b="1" i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0</xdr:colOff>
      <xdr:row>28</xdr:row>
      <xdr:rowOff>18407</xdr:rowOff>
    </xdr:from>
    <xdr:to>
      <xdr:col>6</xdr:col>
      <xdr:colOff>0</xdr:colOff>
      <xdr:row>31</xdr:row>
      <xdr:rowOff>1</xdr:rowOff>
    </xdr:to>
    <xdr:sp macro="" textlink="">
      <xdr:nvSpPr>
        <xdr:cNvPr id="4" name="10Box">
          <a:extLst>
            <a:ext uri="{FF2B5EF4-FFF2-40B4-BE49-F238E27FC236}">
              <a16:creationId xmlns:a16="http://schemas.microsoft.com/office/drawing/2014/main" id="{B8BC6F7F-F698-C443-A8D2-9F16F7B3632C}"/>
            </a:ext>
          </a:extLst>
        </xdr:cNvPr>
        <xdr:cNvSpPr/>
      </xdr:nvSpPr>
      <xdr:spPr>
        <a:xfrm>
          <a:off x="3302000" y="5708007"/>
          <a:ext cx="1651000" cy="591194"/>
        </a:xfrm>
        <a:prstGeom prst="rect">
          <a:avLst/>
        </a:prstGeom>
        <a:solidFill>
          <a:srgbClr val="FFFFFF"/>
        </a:solidFill>
        <a:ln w="38100">
          <a:solidFill>
            <a:schemeClr val="tx1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i="1">
              <a:solidFill>
                <a:schemeClr val="tx1"/>
              </a:solidFill>
            </a:rPr>
            <a:t>10:00</a:t>
          </a:r>
          <a:r>
            <a:rPr lang="en-US" sz="2400" b="1" i="1" baseline="0">
              <a:solidFill>
                <a:schemeClr val="tx1"/>
              </a:solidFill>
            </a:rPr>
            <a:t> AM</a:t>
          </a:r>
          <a:endParaRPr lang="en-US" sz="2400" b="1" i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0</xdr:colOff>
      <xdr:row>32</xdr:row>
      <xdr:rowOff>18407</xdr:rowOff>
    </xdr:from>
    <xdr:to>
      <xdr:col>6</xdr:col>
      <xdr:colOff>0</xdr:colOff>
      <xdr:row>35</xdr:row>
      <xdr:rowOff>1</xdr:rowOff>
    </xdr:to>
    <xdr:sp macro="" textlink="">
      <xdr:nvSpPr>
        <xdr:cNvPr id="5" name="11Box">
          <a:extLst>
            <a:ext uri="{FF2B5EF4-FFF2-40B4-BE49-F238E27FC236}">
              <a16:creationId xmlns:a16="http://schemas.microsoft.com/office/drawing/2014/main" id="{4F260622-3823-1548-99DB-18BF3C202F09}"/>
            </a:ext>
          </a:extLst>
        </xdr:cNvPr>
        <xdr:cNvSpPr/>
      </xdr:nvSpPr>
      <xdr:spPr>
        <a:xfrm>
          <a:off x="3302000" y="6520807"/>
          <a:ext cx="1651000" cy="591194"/>
        </a:xfrm>
        <a:prstGeom prst="rect">
          <a:avLst/>
        </a:prstGeom>
        <a:solidFill>
          <a:srgbClr val="FFFFFF"/>
        </a:solidFill>
        <a:ln w="38100">
          <a:solidFill>
            <a:schemeClr val="tx1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i="1">
              <a:solidFill>
                <a:schemeClr val="tx1"/>
              </a:solidFill>
            </a:rPr>
            <a:t>11:00</a:t>
          </a:r>
          <a:r>
            <a:rPr lang="en-US" sz="2400" b="1" i="1" baseline="0">
              <a:solidFill>
                <a:schemeClr val="tx1"/>
              </a:solidFill>
            </a:rPr>
            <a:t> AM</a:t>
          </a:r>
          <a:endParaRPr lang="en-US" sz="2400" b="1" i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0</xdr:colOff>
      <xdr:row>36</xdr:row>
      <xdr:rowOff>18407</xdr:rowOff>
    </xdr:from>
    <xdr:to>
      <xdr:col>6</xdr:col>
      <xdr:colOff>0</xdr:colOff>
      <xdr:row>39</xdr:row>
      <xdr:rowOff>1</xdr:rowOff>
    </xdr:to>
    <xdr:sp macro="" textlink="">
      <xdr:nvSpPr>
        <xdr:cNvPr id="6" name="12Box">
          <a:extLst>
            <a:ext uri="{FF2B5EF4-FFF2-40B4-BE49-F238E27FC236}">
              <a16:creationId xmlns:a16="http://schemas.microsoft.com/office/drawing/2014/main" id="{9D86624B-ED5D-824D-ADE6-BD8107084F67}"/>
            </a:ext>
          </a:extLst>
        </xdr:cNvPr>
        <xdr:cNvSpPr/>
      </xdr:nvSpPr>
      <xdr:spPr>
        <a:xfrm>
          <a:off x="3302000" y="7333607"/>
          <a:ext cx="1651000" cy="591194"/>
        </a:xfrm>
        <a:prstGeom prst="rect">
          <a:avLst/>
        </a:prstGeom>
        <a:solidFill>
          <a:srgbClr val="FFFFFF"/>
        </a:solidFill>
        <a:ln w="38100">
          <a:solidFill>
            <a:schemeClr val="tx1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i="1">
              <a:solidFill>
                <a:schemeClr val="tx1"/>
              </a:solidFill>
            </a:rPr>
            <a:t>12:00</a:t>
          </a:r>
          <a:r>
            <a:rPr lang="en-US" sz="2400" b="1" i="1" baseline="0">
              <a:solidFill>
                <a:schemeClr val="tx1"/>
              </a:solidFill>
            </a:rPr>
            <a:t> PM</a:t>
          </a:r>
          <a:endParaRPr lang="en-US" sz="2400" b="1" i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0</xdr:colOff>
      <xdr:row>40</xdr:row>
      <xdr:rowOff>18406</xdr:rowOff>
    </xdr:from>
    <xdr:to>
      <xdr:col>6</xdr:col>
      <xdr:colOff>0</xdr:colOff>
      <xdr:row>43</xdr:row>
      <xdr:rowOff>0</xdr:rowOff>
    </xdr:to>
    <xdr:sp macro="" textlink="">
      <xdr:nvSpPr>
        <xdr:cNvPr id="7" name="1Box">
          <a:extLst>
            <a:ext uri="{FF2B5EF4-FFF2-40B4-BE49-F238E27FC236}">
              <a16:creationId xmlns:a16="http://schemas.microsoft.com/office/drawing/2014/main" id="{29349898-7DFB-E84E-BAD1-D362824051D5}"/>
            </a:ext>
          </a:extLst>
        </xdr:cNvPr>
        <xdr:cNvSpPr/>
      </xdr:nvSpPr>
      <xdr:spPr>
        <a:xfrm>
          <a:off x="3302000" y="8146406"/>
          <a:ext cx="1651000" cy="591194"/>
        </a:xfrm>
        <a:prstGeom prst="rect">
          <a:avLst/>
        </a:prstGeom>
        <a:solidFill>
          <a:srgbClr val="FFFFFF"/>
        </a:solidFill>
        <a:ln w="38100">
          <a:solidFill>
            <a:schemeClr val="tx1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i="1">
              <a:solidFill>
                <a:schemeClr val="tx1"/>
              </a:solidFill>
            </a:rPr>
            <a:t>1:00</a:t>
          </a:r>
          <a:r>
            <a:rPr lang="en-US" sz="2400" b="1" i="1" baseline="0">
              <a:solidFill>
                <a:schemeClr val="tx1"/>
              </a:solidFill>
            </a:rPr>
            <a:t> PM</a:t>
          </a:r>
          <a:endParaRPr lang="en-US" sz="2400" b="1" i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0</xdr:colOff>
      <xdr:row>44</xdr:row>
      <xdr:rowOff>18406</xdr:rowOff>
    </xdr:from>
    <xdr:to>
      <xdr:col>6</xdr:col>
      <xdr:colOff>0</xdr:colOff>
      <xdr:row>47</xdr:row>
      <xdr:rowOff>0</xdr:rowOff>
    </xdr:to>
    <xdr:sp macro="" textlink="">
      <xdr:nvSpPr>
        <xdr:cNvPr id="8" name="2Box">
          <a:extLst>
            <a:ext uri="{FF2B5EF4-FFF2-40B4-BE49-F238E27FC236}">
              <a16:creationId xmlns:a16="http://schemas.microsoft.com/office/drawing/2014/main" id="{9C7F282A-2836-B242-B1AC-0CE8161AF2BE}"/>
            </a:ext>
          </a:extLst>
        </xdr:cNvPr>
        <xdr:cNvSpPr/>
      </xdr:nvSpPr>
      <xdr:spPr>
        <a:xfrm>
          <a:off x="3302000" y="8959206"/>
          <a:ext cx="1651000" cy="591194"/>
        </a:xfrm>
        <a:prstGeom prst="rect">
          <a:avLst/>
        </a:prstGeom>
        <a:solidFill>
          <a:srgbClr val="FFFFFF"/>
        </a:solidFill>
        <a:ln w="38100">
          <a:solidFill>
            <a:schemeClr val="tx1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i="1">
              <a:solidFill>
                <a:schemeClr val="tx1"/>
              </a:solidFill>
            </a:rPr>
            <a:t>2:00</a:t>
          </a:r>
          <a:r>
            <a:rPr lang="en-US" sz="2400" b="1" i="1" baseline="0">
              <a:solidFill>
                <a:schemeClr val="tx1"/>
              </a:solidFill>
            </a:rPr>
            <a:t> PM</a:t>
          </a:r>
          <a:endParaRPr lang="en-US" sz="2400" b="1" i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0</xdr:colOff>
      <xdr:row>48</xdr:row>
      <xdr:rowOff>18406</xdr:rowOff>
    </xdr:from>
    <xdr:to>
      <xdr:col>6</xdr:col>
      <xdr:colOff>0</xdr:colOff>
      <xdr:row>51</xdr:row>
      <xdr:rowOff>0</xdr:rowOff>
    </xdr:to>
    <xdr:sp macro="" textlink="">
      <xdr:nvSpPr>
        <xdr:cNvPr id="9" name="3Box">
          <a:extLst>
            <a:ext uri="{FF2B5EF4-FFF2-40B4-BE49-F238E27FC236}">
              <a16:creationId xmlns:a16="http://schemas.microsoft.com/office/drawing/2014/main" id="{6C0AAAC9-AB22-F34A-B45B-B08FB973F1C4}"/>
            </a:ext>
          </a:extLst>
        </xdr:cNvPr>
        <xdr:cNvSpPr/>
      </xdr:nvSpPr>
      <xdr:spPr>
        <a:xfrm>
          <a:off x="3302000" y="9772006"/>
          <a:ext cx="1651000" cy="591194"/>
        </a:xfrm>
        <a:prstGeom prst="rect">
          <a:avLst/>
        </a:prstGeom>
        <a:solidFill>
          <a:srgbClr val="FFFFFF"/>
        </a:solidFill>
        <a:ln w="38100">
          <a:solidFill>
            <a:schemeClr val="tx1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i="1">
              <a:solidFill>
                <a:schemeClr val="tx1"/>
              </a:solidFill>
            </a:rPr>
            <a:t>3:00</a:t>
          </a:r>
          <a:r>
            <a:rPr lang="en-US" sz="2400" b="1" i="1" baseline="0">
              <a:solidFill>
                <a:schemeClr val="tx1"/>
              </a:solidFill>
            </a:rPr>
            <a:t> PM</a:t>
          </a:r>
          <a:endParaRPr lang="en-US" sz="2400" b="1" i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0</xdr:colOff>
      <xdr:row>52</xdr:row>
      <xdr:rowOff>18407</xdr:rowOff>
    </xdr:from>
    <xdr:to>
      <xdr:col>6</xdr:col>
      <xdr:colOff>0</xdr:colOff>
      <xdr:row>55</xdr:row>
      <xdr:rowOff>1</xdr:rowOff>
    </xdr:to>
    <xdr:sp macro="" textlink="">
      <xdr:nvSpPr>
        <xdr:cNvPr id="10" name="4Box">
          <a:extLst>
            <a:ext uri="{FF2B5EF4-FFF2-40B4-BE49-F238E27FC236}">
              <a16:creationId xmlns:a16="http://schemas.microsoft.com/office/drawing/2014/main" id="{43C61703-16A4-DF45-BBFE-D59A163C3642}"/>
            </a:ext>
          </a:extLst>
        </xdr:cNvPr>
        <xdr:cNvSpPr/>
      </xdr:nvSpPr>
      <xdr:spPr>
        <a:xfrm>
          <a:off x="3302000" y="10584807"/>
          <a:ext cx="1651000" cy="591194"/>
        </a:xfrm>
        <a:prstGeom prst="rect">
          <a:avLst/>
        </a:prstGeom>
        <a:solidFill>
          <a:srgbClr val="FFFFFF"/>
        </a:solidFill>
        <a:ln w="38100">
          <a:solidFill>
            <a:schemeClr val="tx1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i="1">
              <a:solidFill>
                <a:schemeClr val="tx1"/>
              </a:solidFill>
            </a:rPr>
            <a:t>4:00</a:t>
          </a:r>
          <a:r>
            <a:rPr lang="en-US" sz="2400" b="1" i="1" baseline="0">
              <a:solidFill>
                <a:schemeClr val="tx1"/>
              </a:solidFill>
            </a:rPr>
            <a:t> PM</a:t>
          </a:r>
          <a:endParaRPr lang="en-US" sz="2400" b="1" i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6</xdr:col>
      <xdr:colOff>0</xdr:colOff>
      <xdr:row>59</xdr:row>
      <xdr:rowOff>0</xdr:rowOff>
    </xdr:to>
    <xdr:sp macro="" textlink="">
      <xdr:nvSpPr>
        <xdr:cNvPr id="11" name="5Box">
          <a:extLst>
            <a:ext uri="{FF2B5EF4-FFF2-40B4-BE49-F238E27FC236}">
              <a16:creationId xmlns:a16="http://schemas.microsoft.com/office/drawing/2014/main" id="{8941F45D-932C-A743-B0A4-95535AAD6E03}"/>
            </a:ext>
          </a:extLst>
        </xdr:cNvPr>
        <xdr:cNvSpPr/>
      </xdr:nvSpPr>
      <xdr:spPr>
        <a:xfrm>
          <a:off x="3302000" y="11379200"/>
          <a:ext cx="1651000" cy="609600"/>
        </a:xfrm>
        <a:prstGeom prst="rect">
          <a:avLst/>
        </a:prstGeom>
        <a:solidFill>
          <a:srgbClr val="FFFFFF"/>
        </a:solidFill>
        <a:ln w="38100">
          <a:solidFill>
            <a:schemeClr val="tx1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i="1">
              <a:solidFill>
                <a:schemeClr val="tx1"/>
              </a:solidFill>
            </a:rPr>
            <a:t>5:00</a:t>
          </a:r>
          <a:r>
            <a:rPr lang="en-US" sz="2400" b="1" i="1" baseline="0">
              <a:solidFill>
                <a:schemeClr val="tx1"/>
              </a:solidFill>
            </a:rPr>
            <a:t> PM</a:t>
          </a:r>
          <a:endParaRPr lang="en-US" sz="2400" b="1" i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357188</xdr:colOff>
      <xdr:row>23</xdr:row>
      <xdr:rowOff>193040</xdr:rowOff>
    </xdr:from>
    <xdr:to>
      <xdr:col>10</xdr:col>
      <xdr:colOff>0</xdr:colOff>
      <xdr:row>26</xdr:row>
      <xdr:rowOff>189715</xdr:rowOff>
    </xdr:to>
    <xdr:sp macro="[0]!Sheet7.HighlightAndLoadJournalFix" textlink="">
      <xdr:nvSpPr>
        <xdr:cNvPr id="12" name="9AM">
          <a:extLst>
            <a:ext uri="{FF2B5EF4-FFF2-40B4-BE49-F238E27FC236}">
              <a16:creationId xmlns:a16="http://schemas.microsoft.com/office/drawing/2014/main" id="{6ED765C9-2206-2846-921B-B0E4CCEE617C}"/>
            </a:ext>
          </a:extLst>
        </xdr:cNvPr>
        <xdr:cNvSpPr/>
      </xdr:nvSpPr>
      <xdr:spPr>
        <a:xfrm>
          <a:off x="5310188" y="4866640"/>
          <a:ext cx="2944812" cy="606275"/>
        </a:xfrm>
        <a:prstGeom prst="rect">
          <a:avLst/>
        </a:prstGeom>
        <a:solidFill>
          <a:schemeClr val="bg1"/>
        </a:solidFill>
        <a:ln w="38100">
          <a:solidFill>
            <a:schemeClr val="tx1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457200" lvl="1" indent="0" algn="l"/>
          <a:r>
            <a:rPr lang="en-US" sz="1500" b="0" i="1">
              <a:solidFill>
                <a:schemeClr val="tx1"/>
              </a:solidFill>
              <a:latin typeface="+mn-lt"/>
              <a:ea typeface="+mn-ea"/>
              <a:cs typeface="+mn-cs"/>
            </a:rPr>
            <a:t>- - </a:t>
          </a:r>
        </a:p>
      </xdr:txBody>
    </xdr:sp>
    <xdr:clientData/>
  </xdr:twoCellAnchor>
  <xdr:twoCellAnchor>
    <xdr:from>
      <xdr:col>6</xdr:col>
      <xdr:colOff>357188</xdr:colOff>
      <xdr:row>28</xdr:row>
      <xdr:rowOff>1</xdr:rowOff>
    </xdr:from>
    <xdr:to>
      <xdr:col>10</xdr:col>
      <xdr:colOff>0</xdr:colOff>
      <xdr:row>30</xdr:row>
      <xdr:rowOff>199876</xdr:rowOff>
    </xdr:to>
    <xdr:sp macro="[0]!Sheet7.HighlightAndLoadJournalFix" textlink="">
      <xdr:nvSpPr>
        <xdr:cNvPr id="13" name="10AM">
          <a:extLst>
            <a:ext uri="{FF2B5EF4-FFF2-40B4-BE49-F238E27FC236}">
              <a16:creationId xmlns:a16="http://schemas.microsoft.com/office/drawing/2014/main" id="{F72236E9-625E-9141-99C6-088D8F949565}"/>
            </a:ext>
          </a:extLst>
        </xdr:cNvPr>
        <xdr:cNvSpPr/>
      </xdr:nvSpPr>
      <xdr:spPr>
        <a:xfrm>
          <a:off x="5310188" y="5689601"/>
          <a:ext cx="2944812" cy="606275"/>
        </a:xfrm>
        <a:prstGeom prst="rect">
          <a:avLst/>
        </a:prstGeom>
        <a:solidFill>
          <a:schemeClr val="bg1"/>
        </a:solidFill>
        <a:ln w="38100">
          <a:solidFill>
            <a:schemeClr val="tx1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500" b="0" i="1">
              <a:solidFill>
                <a:schemeClr val="tx1"/>
              </a:solidFill>
            </a:rPr>
            <a:t>- - </a:t>
          </a:r>
        </a:p>
      </xdr:txBody>
    </xdr:sp>
    <xdr:clientData/>
  </xdr:twoCellAnchor>
  <xdr:twoCellAnchor>
    <xdr:from>
      <xdr:col>6</xdr:col>
      <xdr:colOff>357188</xdr:colOff>
      <xdr:row>32</xdr:row>
      <xdr:rowOff>1</xdr:rowOff>
    </xdr:from>
    <xdr:to>
      <xdr:col>10</xdr:col>
      <xdr:colOff>0</xdr:colOff>
      <xdr:row>34</xdr:row>
      <xdr:rowOff>199876</xdr:rowOff>
    </xdr:to>
    <xdr:sp macro="[0]!Sheet7.HighlightAndLoadJournalFix" textlink="">
      <xdr:nvSpPr>
        <xdr:cNvPr id="14" name="11AM">
          <a:extLst>
            <a:ext uri="{FF2B5EF4-FFF2-40B4-BE49-F238E27FC236}">
              <a16:creationId xmlns:a16="http://schemas.microsoft.com/office/drawing/2014/main" id="{6AE8A4DE-E2AC-8B4E-B3C2-D4BCDF43DEA1}"/>
            </a:ext>
          </a:extLst>
        </xdr:cNvPr>
        <xdr:cNvSpPr/>
      </xdr:nvSpPr>
      <xdr:spPr>
        <a:xfrm>
          <a:off x="5310188" y="6502401"/>
          <a:ext cx="2944812" cy="606275"/>
        </a:xfrm>
        <a:prstGeom prst="rect">
          <a:avLst/>
        </a:prstGeom>
        <a:solidFill>
          <a:schemeClr val="bg1"/>
        </a:solidFill>
        <a:ln w="38100">
          <a:solidFill>
            <a:schemeClr val="tx1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500" b="0" i="1">
              <a:solidFill>
                <a:schemeClr val="tx1"/>
              </a:solidFill>
            </a:rPr>
            <a:t>- - </a:t>
          </a:r>
        </a:p>
      </xdr:txBody>
    </xdr:sp>
    <xdr:clientData/>
  </xdr:twoCellAnchor>
  <xdr:twoCellAnchor>
    <xdr:from>
      <xdr:col>6</xdr:col>
      <xdr:colOff>357188</xdr:colOff>
      <xdr:row>36</xdr:row>
      <xdr:rowOff>1</xdr:rowOff>
    </xdr:from>
    <xdr:to>
      <xdr:col>10</xdr:col>
      <xdr:colOff>0</xdr:colOff>
      <xdr:row>38</xdr:row>
      <xdr:rowOff>199876</xdr:rowOff>
    </xdr:to>
    <xdr:sp macro="[0]!Sheet7.HighlightAndLoadJournalFix" textlink="">
      <xdr:nvSpPr>
        <xdr:cNvPr id="15" name="12PM">
          <a:extLst>
            <a:ext uri="{FF2B5EF4-FFF2-40B4-BE49-F238E27FC236}">
              <a16:creationId xmlns:a16="http://schemas.microsoft.com/office/drawing/2014/main" id="{E9E8CA06-D7C0-9C49-AC71-7A0F1AFCB3FB}"/>
            </a:ext>
          </a:extLst>
        </xdr:cNvPr>
        <xdr:cNvSpPr/>
      </xdr:nvSpPr>
      <xdr:spPr>
        <a:xfrm>
          <a:off x="5310188" y="7315201"/>
          <a:ext cx="2944812" cy="606275"/>
        </a:xfrm>
        <a:prstGeom prst="rect">
          <a:avLst/>
        </a:prstGeom>
        <a:solidFill>
          <a:schemeClr val="bg1"/>
        </a:solidFill>
        <a:ln w="38100">
          <a:solidFill>
            <a:schemeClr val="tx1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500" b="0" i="1">
              <a:solidFill>
                <a:schemeClr val="tx1"/>
              </a:solidFill>
            </a:rPr>
            <a:t>- - </a:t>
          </a:r>
        </a:p>
      </xdr:txBody>
    </xdr:sp>
    <xdr:clientData/>
  </xdr:twoCellAnchor>
  <xdr:twoCellAnchor>
    <xdr:from>
      <xdr:col>6</xdr:col>
      <xdr:colOff>357188</xdr:colOff>
      <xdr:row>40</xdr:row>
      <xdr:rowOff>0</xdr:rowOff>
    </xdr:from>
    <xdr:to>
      <xdr:col>10</xdr:col>
      <xdr:colOff>0</xdr:colOff>
      <xdr:row>42</xdr:row>
      <xdr:rowOff>199875</xdr:rowOff>
    </xdr:to>
    <xdr:sp macro="[0]!Sheet7.HighlightAndLoadJournalFix" textlink="">
      <xdr:nvSpPr>
        <xdr:cNvPr id="16" name="1PM">
          <a:extLst>
            <a:ext uri="{FF2B5EF4-FFF2-40B4-BE49-F238E27FC236}">
              <a16:creationId xmlns:a16="http://schemas.microsoft.com/office/drawing/2014/main" id="{A19DA508-586B-F54C-9AE0-C0AD2A121CFC}"/>
            </a:ext>
          </a:extLst>
        </xdr:cNvPr>
        <xdr:cNvSpPr/>
      </xdr:nvSpPr>
      <xdr:spPr>
        <a:xfrm>
          <a:off x="5310188" y="8128000"/>
          <a:ext cx="2944812" cy="606275"/>
        </a:xfrm>
        <a:prstGeom prst="rect">
          <a:avLst/>
        </a:prstGeom>
        <a:solidFill>
          <a:schemeClr val="bg1"/>
        </a:solidFill>
        <a:ln w="38100">
          <a:solidFill>
            <a:schemeClr val="tx1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500" b="0" i="1">
              <a:solidFill>
                <a:schemeClr val="tx1"/>
              </a:solidFill>
            </a:rPr>
            <a:t>- - </a:t>
          </a:r>
        </a:p>
      </xdr:txBody>
    </xdr:sp>
    <xdr:clientData/>
  </xdr:twoCellAnchor>
  <xdr:twoCellAnchor>
    <xdr:from>
      <xdr:col>6</xdr:col>
      <xdr:colOff>357188</xdr:colOff>
      <xdr:row>44</xdr:row>
      <xdr:rowOff>0</xdr:rowOff>
    </xdr:from>
    <xdr:to>
      <xdr:col>10</xdr:col>
      <xdr:colOff>0</xdr:colOff>
      <xdr:row>46</xdr:row>
      <xdr:rowOff>199875</xdr:rowOff>
    </xdr:to>
    <xdr:sp macro="[0]!Sheet7.HighlightAndLoadJournalFix" textlink="">
      <xdr:nvSpPr>
        <xdr:cNvPr id="17" name="2PM">
          <a:extLst>
            <a:ext uri="{FF2B5EF4-FFF2-40B4-BE49-F238E27FC236}">
              <a16:creationId xmlns:a16="http://schemas.microsoft.com/office/drawing/2014/main" id="{55B250C1-B91E-2541-9713-672900361F04}"/>
            </a:ext>
          </a:extLst>
        </xdr:cNvPr>
        <xdr:cNvSpPr/>
      </xdr:nvSpPr>
      <xdr:spPr>
        <a:xfrm>
          <a:off x="5310188" y="8940800"/>
          <a:ext cx="2944812" cy="606275"/>
        </a:xfrm>
        <a:prstGeom prst="rect">
          <a:avLst/>
        </a:prstGeom>
        <a:solidFill>
          <a:schemeClr val="bg1"/>
        </a:solidFill>
        <a:ln w="38100">
          <a:solidFill>
            <a:schemeClr val="tx1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500" b="0" i="1">
              <a:solidFill>
                <a:schemeClr val="tx1"/>
              </a:solidFill>
            </a:rPr>
            <a:t>- - </a:t>
          </a:r>
        </a:p>
      </xdr:txBody>
    </xdr:sp>
    <xdr:clientData/>
  </xdr:twoCellAnchor>
  <xdr:twoCellAnchor>
    <xdr:from>
      <xdr:col>6</xdr:col>
      <xdr:colOff>357188</xdr:colOff>
      <xdr:row>48</xdr:row>
      <xdr:rowOff>0</xdr:rowOff>
    </xdr:from>
    <xdr:to>
      <xdr:col>10</xdr:col>
      <xdr:colOff>0</xdr:colOff>
      <xdr:row>50</xdr:row>
      <xdr:rowOff>199875</xdr:rowOff>
    </xdr:to>
    <xdr:sp macro="[0]!Sheet7.HighlightAndLoadJournalFix" textlink="">
      <xdr:nvSpPr>
        <xdr:cNvPr id="18" name="3PM">
          <a:extLst>
            <a:ext uri="{FF2B5EF4-FFF2-40B4-BE49-F238E27FC236}">
              <a16:creationId xmlns:a16="http://schemas.microsoft.com/office/drawing/2014/main" id="{B868B8BB-11CE-7C4B-B394-42A14AEDC472}"/>
            </a:ext>
          </a:extLst>
        </xdr:cNvPr>
        <xdr:cNvSpPr/>
      </xdr:nvSpPr>
      <xdr:spPr>
        <a:xfrm>
          <a:off x="5310188" y="9753600"/>
          <a:ext cx="2944812" cy="606275"/>
        </a:xfrm>
        <a:prstGeom prst="rect">
          <a:avLst/>
        </a:prstGeom>
        <a:solidFill>
          <a:schemeClr val="bg1"/>
        </a:solidFill>
        <a:ln w="38100">
          <a:solidFill>
            <a:schemeClr val="tx1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500" b="0" i="1">
              <a:solidFill>
                <a:schemeClr val="tx1"/>
              </a:solidFill>
            </a:rPr>
            <a:t>- - </a:t>
          </a:r>
        </a:p>
      </xdr:txBody>
    </xdr:sp>
    <xdr:clientData/>
  </xdr:twoCellAnchor>
  <xdr:twoCellAnchor>
    <xdr:from>
      <xdr:col>6</xdr:col>
      <xdr:colOff>357188</xdr:colOff>
      <xdr:row>52</xdr:row>
      <xdr:rowOff>1</xdr:rowOff>
    </xdr:from>
    <xdr:to>
      <xdr:col>10</xdr:col>
      <xdr:colOff>0</xdr:colOff>
      <xdr:row>54</xdr:row>
      <xdr:rowOff>199876</xdr:rowOff>
    </xdr:to>
    <xdr:sp macro="[0]!Sheet7.HighlightAndLoadJournalFix" textlink="">
      <xdr:nvSpPr>
        <xdr:cNvPr id="19" name="4PM">
          <a:extLst>
            <a:ext uri="{FF2B5EF4-FFF2-40B4-BE49-F238E27FC236}">
              <a16:creationId xmlns:a16="http://schemas.microsoft.com/office/drawing/2014/main" id="{2E066D8B-08E1-AD4A-8D52-0DC1DAA0B043}"/>
            </a:ext>
          </a:extLst>
        </xdr:cNvPr>
        <xdr:cNvSpPr/>
      </xdr:nvSpPr>
      <xdr:spPr>
        <a:xfrm>
          <a:off x="5310188" y="10566401"/>
          <a:ext cx="2944812" cy="606275"/>
        </a:xfrm>
        <a:prstGeom prst="rect">
          <a:avLst/>
        </a:prstGeom>
        <a:solidFill>
          <a:schemeClr val="bg1"/>
        </a:solidFill>
        <a:ln w="38100">
          <a:solidFill>
            <a:schemeClr val="tx1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500" b="0" i="1">
              <a:solidFill>
                <a:schemeClr val="tx1"/>
              </a:solidFill>
            </a:rPr>
            <a:t>- - </a:t>
          </a:r>
        </a:p>
      </xdr:txBody>
    </xdr:sp>
    <xdr:clientData/>
  </xdr:twoCellAnchor>
  <xdr:twoCellAnchor>
    <xdr:from>
      <xdr:col>6</xdr:col>
      <xdr:colOff>357188</xdr:colOff>
      <xdr:row>55</xdr:row>
      <xdr:rowOff>180031</xdr:rowOff>
    </xdr:from>
    <xdr:to>
      <xdr:col>10</xdr:col>
      <xdr:colOff>0</xdr:colOff>
      <xdr:row>58</xdr:row>
      <xdr:rowOff>180032</xdr:rowOff>
    </xdr:to>
    <xdr:sp macro="[0]!Sheet7.HighlightAndLoadJournalFix" textlink="">
      <xdr:nvSpPr>
        <xdr:cNvPr id="20" name="5PM">
          <a:extLst>
            <a:ext uri="{FF2B5EF4-FFF2-40B4-BE49-F238E27FC236}">
              <a16:creationId xmlns:a16="http://schemas.microsoft.com/office/drawing/2014/main" id="{B3BDD782-7D7C-234B-A694-12156134DA25}"/>
            </a:ext>
          </a:extLst>
        </xdr:cNvPr>
        <xdr:cNvSpPr/>
      </xdr:nvSpPr>
      <xdr:spPr>
        <a:xfrm>
          <a:off x="5310188" y="11356031"/>
          <a:ext cx="2944812" cy="609601"/>
        </a:xfrm>
        <a:prstGeom prst="rect">
          <a:avLst/>
        </a:prstGeom>
        <a:solidFill>
          <a:schemeClr val="bg1"/>
        </a:solidFill>
        <a:ln w="38100">
          <a:solidFill>
            <a:schemeClr val="tx1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500" b="0" i="1">
              <a:solidFill>
                <a:schemeClr val="tx1"/>
              </a:solidFill>
            </a:rPr>
            <a:t>- - </a:t>
          </a:r>
        </a:p>
      </xdr:txBody>
    </xdr:sp>
    <xdr:clientData/>
  </xdr:twoCellAnchor>
  <xdr:twoCellAnchor>
    <xdr:from>
      <xdr:col>4</xdr:col>
      <xdr:colOff>0</xdr:colOff>
      <xdr:row>8</xdr:row>
      <xdr:rowOff>97693</xdr:rowOff>
    </xdr:from>
    <xdr:to>
      <xdr:col>10</xdr:col>
      <xdr:colOff>0</xdr:colOff>
      <xdr:row>18</xdr:row>
      <xdr:rowOff>0</xdr:rowOff>
    </xdr:to>
    <xdr:sp macro="[0]!Sheet7.GetAndEditJournalBox_Highlighted" textlink="">
      <xdr:nvSpPr>
        <xdr:cNvPr id="21" name="JournalBox">
          <a:extLst>
            <a:ext uri="{FF2B5EF4-FFF2-40B4-BE49-F238E27FC236}">
              <a16:creationId xmlns:a16="http://schemas.microsoft.com/office/drawing/2014/main" id="{1F277230-5189-054A-A941-DCB6B300981A}"/>
            </a:ext>
          </a:extLst>
        </xdr:cNvPr>
        <xdr:cNvSpPr/>
      </xdr:nvSpPr>
      <xdr:spPr>
        <a:xfrm>
          <a:off x="3302000" y="1723293"/>
          <a:ext cx="4953000" cy="1934307"/>
        </a:xfrm>
        <a:prstGeom prst="roundRect">
          <a:avLst/>
        </a:prstGeom>
        <a:solidFill>
          <a:schemeClr val="bg1"/>
        </a:solidFill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l"/>
          <a:r>
            <a:rPr lang="en-US" sz="1800">
              <a:solidFill>
                <a:srgbClr val="000000"/>
              </a:solidFill>
            </a:rPr>
            <a:t>Type Here...</a:t>
          </a:r>
        </a:p>
      </xdr:txBody>
    </xdr:sp>
    <xdr:clientData/>
  </xdr:twoCellAnchor>
  <xdr:twoCellAnchor>
    <xdr:from>
      <xdr:col>4</xdr:col>
      <xdr:colOff>0</xdr:colOff>
      <xdr:row>19</xdr:row>
      <xdr:rowOff>101600</xdr:rowOff>
    </xdr:from>
    <xdr:to>
      <xdr:col>4</xdr:col>
      <xdr:colOff>650240</xdr:colOff>
      <xdr:row>22</xdr:row>
      <xdr:rowOff>132080</xdr:rowOff>
    </xdr:to>
    <xdr:sp macro="[0]!Sheet7.DecrementDateAndLoadJournal" textlink="">
      <xdr:nvSpPr>
        <xdr:cNvPr id="22" name="Rounded Rectangle 21">
          <a:extLst>
            <a:ext uri="{FF2B5EF4-FFF2-40B4-BE49-F238E27FC236}">
              <a16:creationId xmlns:a16="http://schemas.microsoft.com/office/drawing/2014/main" id="{D5CE98A8-3F55-1448-A203-470BEF097E9F}"/>
            </a:ext>
          </a:extLst>
        </xdr:cNvPr>
        <xdr:cNvSpPr/>
      </xdr:nvSpPr>
      <xdr:spPr>
        <a:xfrm>
          <a:off x="3302000" y="3962400"/>
          <a:ext cx="650240" cy="640080"/>
        </a:xfrm>
        <a:prstGeom prst="roundRect">
          <a:avLst/>
        </a:prstGeom>
        <a:solidFill>
          <a:schemeClr val="bg1">
            <a:lumMod val="75000"/>
          </a:schemeClr>
        </a:solidFill>
        <a:ln w="28575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173842</xdr:colOff>
      <xdr:row>19</xdr:row>
      <xdr:rowOff>180547</xdr:rowOff>
    </xdr:from>
    <xdr:to>
      <xdr:col>4</xdr:col>
      <xdr:colOff>435758</xdr:colOff>
      <xdr:row>22</xdr:row>
      <xdr:rowOff>16461</xdr:rowOff>
    </xdr:to>
    <xdr:sp macro="[0]!Sheet7.DecrementDateAndLoadJournal" textlink="">
      <xdr:nvSpPr>
        <xdr:cNvPr id="23" name="Triangle 22">
          <a:extLst>
            <a:ext uri="{FF2B5EF4-FFF2-40B4-BE49-F238E27FC236}">
              <a16:creationId xmlns:a16="http://schemas.microsoft.com/office/drawing/2014/main" id="{D0AF5169-B913-3140-9084-FC2F80A5F76B}"/>
            </a:ext>
          </a:extLst>
        </xdr:cNvPr>
        <xdr:cNvSpPr/>
      </xdr:nvSpPr>
      <xdr:spPr>
        <a:xfrm rot="16200000">
          <a:off x="3384043" y="4133146"/>
          <a:ext cx="445514" cy="261916"/>
        </a:xfrm>
        <a:prstGeom prst="triangle">
          <a:avLst/>
        </a:prstGeom>
        <a:solidFill>
          <a:schemeClr val="accent4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165055</xdr:colOff>
      <xdr:row>19</xdr:row>
      <xdr:rowOff>100519</xdr:rowOff>
    </xdr:from>
    <xdr:to>
      <xdr:col>9</xdr:col>
      <xdr:colOff>812800</xdr:colOff>
      <xdr:row>22</xdr:row>
      <xdr:rowOff>129085</xdr:rowOff>
    </xdr:to>
    <xdr:sp macro="[0]!Sheet7.IncrementDateAndLoadJournal" textlink="">
      <xdr:nvSpPr>
        <xdr:cNvPr id="24" name="Rounded Rectangle 23">
          <a:extLst>
            <a:ext uri="{FF2B5EF4-FFF2-40B4-BE49-F238E27FC236}">
              <a16:creationId xmlns:a16="http://schemas.microsoft.com/office/drawing/2014/main" id="{AE1393C6-3EAF-A641-9EA0-8106053B5F91}"/>
            </a:ext>
          </a:extLst>
        </xdr:cNvPr>
        <xdr:cNvSpPr/>
      </xdr:nvSpPr>
      <xdr:spPr>
        <a:xfrm>
          <a:off x="7594555" y="3961319"/>
          <a:ext cx="647745" cy="638166"/>
        </a:xfrm>
        <a:prstGeom prst="roundRect">
          <a:avLst/>
        </a:prstGeom>
        <a:solidFill>
          <a:schemeClr val="bg1">
            <a:lumMod val="75000"/>
          </a:schemeClr>
        </a:solidFill>
        <a:ln w="28575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409541</xdr:colOff>
      <xdr:row>19</xdr:row>
      <xdr:rowOff>179234</xdr:rowOff>
    </xdr:from>
    <xdr:to>
      <xdr:col>9</xdr:col>
      <xdr:colOff>670452</xdr:colOff>
      <xdr:row>22</xdr:row>
      <xdr:rowOff>13805</xdr:rowOff>
    </xdr:to>
    <xdr:sp macro="[0]!Sheet7.IncrementDateAndLoadJournal" textlink="">
      <xdr:nvSpPr>
        <xdr:cNvPr id="25" name="Triangle 24">
          <a:extLst>
            <a:ext uri="{FF2B5EF4-FFF2-40B4-BE49-F238E27FC236}">
              <a16:creationId xmlns:a16="http://schemas.microsoft.com/office/drawing/2014/main" id="{FFCD7CFB-9CBD-B94F-A044-C9FE1446EBF7}"/>
            </a:ext>
          </a:extLst>
        </xdr:cNvPr>
        <xdr:cNvSpPr/>
      </xdr:nvSpPr>
      <xdr:spPr>
        <a:xfrm rot="5400000">
          <a:off x="7747411" y="4131664"/>
          <a:ext cx="444171" cy="260911"/>
        </a:xfrm>
        <a:prstGeom prst="triangle">
          <a:avLst/>
        </a:prstGeom>
        <a:solidFill>
          <a:schemeClr val="accent4"/>
        </a:solidFill>
        <a:ln w="12700"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19</xdr:row>
      <xdr:rowOff>101600</xdr:rowOff>
    </xdr:from>
    <xdr:to>
      <xdr:col>9</xdr:col>
      <xdr:colOff>0</xdr:colOff>
      <xdr:row>22</xdr:row>
      <xdr:rowOff>105833</xdr:rowOff>
    </xdr:to>
    <xdr:sp macro="" textlink="">
      <xdr:nvSpPr>
        <xdr:cNvPr id="26" name="Work_Journal_Date">
          <a:extLst>
            <a:ext uri="{FF2B5EF4-FFF2-40B4-BE49-F238E27FC236}">
              <a16:creationId xmlns:a16="http://schemas.microsoft.com/office/drawing/2014/main" id="{55B92FF4-C276-7A48-9B54-53001A2FEA34}"/>
            </a:ext>
          </a:extLst>
        </xdr:cNvPr>
        <xdr:cNvSpPr/>
      </xdr:nvSpPr>
      <xdr:spPr>
        <a:xfrm>
          <a:off x="4127500" y="3962400"/>
          <a:ext cx="3302000" cy="613833"/>
        </a:xfrm>
        <a:prstGeom prst="roundRect">
          <a:avLst/>
        </a:prstGeom>
        <a:solidFill>
          <a:schemeClr val="bg1">
            <a:lumMod val="75000"/>
          </a:schemeClr>
        </a:solidFill>
        <a:ln w="28575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500" b="1">
              <a:solidFill>
                <a:schemeClr val="tx1"/>
              </a:solidFill>
            </a:rPr>
            <a:t>September 1st, 2025</a:t>
          </a:r>
        </a:p>
      </xdr:txBody>
    </xdr:sp>
    <xdr:clientData/>
  </xdr:twoCellAnchor>
  <xdr:twoCellAnchor>
    <xdr:from>
      <xdr:col>13</xdr:col>
      <xdr:colOff>0</xdr:colOff>
      <xdr:row>22</xdr:row>
      <xdr:rowOff>0</xdr:rowOff>
    </xdr:from>
    <xdr:to>
      <xdr:col>17</xdr:col>
      <xdr:colOff>0</xdr:colOff>
      <xdr:row>27</xdr:row>
      <xdr:rowOff>0</xdr:rowOff>
    </xdr:to>
    <xdr:sp macro="[0]!Sheet7.GoToDateAndLoadJournal" textlink="">
      <xdr:nvSpPr>
        <xdr:cNvPr id="27" name="Rounded Rectangle 26">
          <a:extLst>
            <a:ext uri="{FF2B5EF4-FFF2-40B4-BE49-F238E27FC236}">
              <a16:creationId xmlns:a16="http://schemas.microsoft.com/office/drawing/2014/main" id="{4261BED7-9C19-024C-BB47-6EA168A5BF96}"/>
            </a:ext>
          </a:extLst>
        </xdr:cNvPr>
        <xdr:cNvSpPr/>
      </xdr:nvSpPr>
      <xdr:spPr>
        <a:xfrm>
          <a:off x="10731500" y="4470400"/>
          <a:ext cx="3302000" cy="1016000"/>
        </a:xfrm>
        <a:prstGeom prst="roundRect">
          <a:avLst/>
        </a:prstGeom>
        <a:solidFill>
          <a:schemeClr val="bg1">
            <a:lumMod val="75000"/>
          </a:schemeClr>
        </a:solidFill>
        <a:ln w="76200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3200" b="1" u="none">
              <a:solidFill>
                <a:schemeClr val="tx1"/>
              </a:solidFill>
            </a:rPr>
            <a:t>GO TO</a:t>
          </a:r>
        </a:p>
      </xdr:txBody>
    </xdr:sp>
    <xdr:clientData/>
  </xdr:twoCellAnchor>
  <xdr:twoCellAnchor>
    <xdr:from>
      <xdr:col>15</xdr:col>
      <xdr:colOff>355883</xdr:colOff>
      <xdr:row>23</xdr:row>
      <xdr:rowOff>73696</xdr:rowOff>
    </xdr:from>
    <xdr:to>
      <xdr:col>16</xdr:col>
      <xdr:colOff>93654</xdr:colOff>
      <xdr:row>25</xdr:row>
      <xdr:rowOff>92120</xdr:rowOff>
    </xdr:to>
    <xdr:sp macro="[0]!Sheet7.GoToDateAndLoadJournal" textlink="">
      <xdr:nvSpPr>
        <xdr:cNvPr id="28" name="Right Arrow 27">
          <a:extLst>
            <a:ext uri="{FF2B5EF4-FFF2-40B4-BE49-F238E27FC236}">
              <a16:creationId xmlns:a16="http://schemas.microsoft.com/office/drawing/2014/main" id="{4FC55EAE-ED93-D647-B386-B13A42CDF282}"/>
            </a:ext>
          </a:extLst>
        </xdr:cNvPr>
        <xdr:cNvSpPr/>
      </xdr:nvSpPr>
      <xdr:spPr>
        <a:xfrm>
          <a:off x="12738383" y="4747296"/>
          <a:ext cx="563271" cy="424824"/>
        </a:xfrm>
        <a:prstGeom prst="rightArrow">
          <a:avLst/>
        </a:prstGeom>
        <a:solidFill>
          <a:schemeClr val="accent4"/>
        </a:solidFill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163021</xdr:colOff>
      <xdr:row>12</xdr:row>
      <xdr:rowOff>120316</xdr:rowOff>
    </xdr:from>
    <xdr:to>
      <xdr:col>48</xdr:col>
      <xdr:colOff>262192</xdr:colOff>
      <xdr:row>15</xdr:row>
      <xdr:rowOff>168962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C802AFE-4091-7E43-806F-F8F5165954DD}"/>
            </a:ext>
          </a:extLst>
        </xdr:cNvPr>
        <xdr:cNvSpPr/>
      </xdr:nvSpPr>
      <xdr:spPr>
        <a:xfrm rot="10800000">
          <a:off x="38961521" y="2558716"/>
          <a:ext cx="924671" cy="658246"/>
        </a:xfrm>
        <a:prstGeom prst="rightArrow">
          <a:avLst/>
        </a:prstGeom>
        <a:solidFill>
          <a:schemeClr val="tx2">
            <a:lumMod val="75000"/>
            <a:lumOff val="25000"/>
          </a:schemeClr>
        </a:solidFill>
        <a:ln w="57150"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17</xdr:row>
      <xdr:rowOff>203199</xdr:rowOff>
    </xdr:from>
    <xdr:to>
      <xdr:col>48</xdr:col>
      <xdr:colOff>380707</xdr:colOff>
      <xdr:row>38</xdr:row>
      <xdr:rowOff>175987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5E5AEBB-2A3D-9043-9619-55EA725A137D}"/>
            </a:ext>
          </a:extLst>
        </xdr:cNvPr>
        <xdr:cNvGrpSpPr/>
      </xdr:nvGrpSpPr>
      <xdr:grpSpPr>
        <a:xfrm>
          <a:off x="41691719" y="3775074"/>
          <a:ext cx="4547894" cy="4139976"/>
          <a:chOff x="48860112" y="1499310"/>
          <a:chExt cx="2102464" cy="1857353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15A33C3F-9989-ACDF-89FF-6E97A2BA3F19}"/>
              </a:ext>
            </a:extLst>
          </xdr:cNvPr>
          <xdr:cNvSpPr/>
        </xdr:nvSpPr>
        <xdr:spPr>
          <a:xfrm>
            <a:off x="48860112" y="1499310"/>
            <a:ext cx="2102464" cy="1857353"/>
          </a:xfrm>
          <a:prstGeom prst="rect">
            <a:avLst/>
          </a:prstGeom>
          <a:solidFill>
            <a:schemeClr val="tx2">
              <a:lumMod val="75000"/>
              <a:lumOff val="25000"/>
            </a:schemeClr>
          </a:solidFill>
          <a:ln w="76200">
            <a:solidFill>
              <a:schemeClr val="bg1">
                <a:lumMod val="8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1AE29950-8D74-F394-4A1D-4EF1F4A8F5D1}"/>
              </a:ext>
            </a:extLst>
          </xdr:cNvPr>
          <xdr:cNvGrpSpPr/>
        </xdr:nvGrpSpPr>
        <xdr:grpSpPr>
          <a:xfrm>
            <a:off x="50044949" y="2832271"/>
            <a:ext cx="622232" cy="300126"/>
            <a:chOff x="40495561" y="2842818"/>
            <a:chExt cx="619965" cy="302291"/>
          </a:xfrm>
          <a:solidFill>
            <a:schemeClr val="bg1">
              <a:lumMod val="85000"/>
            </a:schemeClr>
          </a:solidFill>
        </xdr:grpSpPr>
        <xdr:sp macro="" textlink="">
          <xdr:nvSpPr>
            <xdr:cNvPr id="10" name="Rounded Rectangle 9">
              <a:extLst>
                <a:ext uri="{FF2B5EF4-FFF2-40B4-BE49-F238E27FC236}">
                  <a16:creationId xmlns:a16="http://schemas.microsoft.com/office/drawing/2014/main" id="{92DF2089-0028-FB39-AEC5-DC9FEE3D4295}"/>
                </a:ext>
              </a:extLst>
            </xdr:cNvPr>
            <xdr:cNvSpPr/>
          </xdr:nvSpPr>
          <xdr:spPr>
            <a:xfrm>
              <a:off x="40495561" y="2842818"/>
              <a:ext cx="619965" cy="302291"/>
            </a:xfrm>
            <a:prstGeom prst="roundRect">
              <a:avLst/>
            </a:prstGeom>
            <a:grpFill/>
            <a:ln w="6350">
              <a:solidFill>
                <a:schemeClr val="tx2">
                  <a:lumMod val="75000"/>
                  <a:lumOff val="25000"/>
                </a:schemeClr>
              </a:solidFill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65100" prst="coolSlant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lvl="0" algn="l"/>
              <a:r>
                <a:rPr lang="en-US" sz="2400" b="1">
                  <a:solidFill>
                    <a:schemeClr val="tx2">
                      <a:lumMod val="75000"/>
                      <a:lumOff val="25000"/>
                    </a:schemeClr>
                  </a:solidFill>
                </a:rPr>
                <a:t>  NEXT</a:t>
              </a:r>
            </a:p>
          </xdr:txBody>
        </xdr:sp>
        <xdr:sp macro="" textlink="">
          <xdr:nvSpPr>
            <xdr:cNvPr id="11" name="Triangle 10">
              <a:extLst>
                <a:ext uri="{FF2B5EF4-FFF2-40B4-BE49-F238E27FC236}">
                  <a16:creationId xmlns:a16="http://schemas.microsoft.com/office/drawing/2014/main" id="{E95029FA-2F90-5634-E992-334975646D1A}"/>
                </a:ext>
              </a:extLst>
            </xdr:cNvPr>
            <xdr:cNvSpPr/>
          </xdr:nvSpPr>
          <xdr:spPr>
            <a:xfrm rot="5400000">
              <a:off x="40922450" y="2968164"/>
              <a:ext cx="94273" cy="45630"/>
            </a:xfrm>
            <a:prstGeom prst="triangle">
              <a:avLst/>
            </a:prstGeom>
            <a:solidFill>
              <a:schemeClr val="tx2">
                <a:lumMod val="75000"/>
                <a:lumOff val="25000"/>
              </a:schemeClr>
            </a:solidFill>
            <a:ln>
              <a:solidFill>
                <a:schemeClr val="tx2">
                  <a:lumMod val="75000"/>
                  <a:lumOff val="2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chemeClr val="tx2">
                    <a:lumMod val="75000"/>
                    <a:lumOff val="25000"/>
                  </a:schemeClr>
                </a:solidFill>
              </a:endParaRPr>
            </a:p>
          </xdr:txBody>
        </xdr:sp>
      </xdr:grp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EF1C73D6-1497-951A-4BF7-E95B08CB2964}"/>
              </a:ext>
            </a:extLst>
          </xdr:cNvPr>
          <xdr:cNvSpPr txBox="1"/>
        </xdr:nvSpPr>
        <xdr:spPr>
          <a:xfrm>
            <a:off x="49075190" y="1694481"/>
            <a:ext cx="1660614" cy="10760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200">
                <a:solidFill>
                  <a:schemeClr val="bg1">
                    <a:lumMod val="85000"/>
                  </a:schemeClr>
                </a:solidFill>
              </a:rPr>
              <a:t>Start demo by creating</a:t>
            </a:r>
            <a:r>
              <a:rPr lang="en-US" sz="3200" baseline="0">
                <a:solidFill>
                  <a:schemeClr val="bg1">
                    <a:lumMod val="85000"/>
                  </a:schemeClr>
                </a:solidFill>
              </a:rPr>
              <a:t> a new sale. First, enter your date. </a:t>
            </a:r>
            <a:endParaRPr lang="en-US" sz="3200">
              <a:solidFill>
                <a:schemeClr val="bg1">
                  <a:lumMod val="85000"/>
                </a:schemeClr>
              </a:solidFill>
            </a:endParaRPr>
          </a:p>
        </xdr:txBody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744D7CB7-4F93-DA1D-BC03-72EE48270D2E}"/>
              </a:ext>
            </a:extLst>
          </xdr:cNvPr>
          <xdr:cNvGrpSpPr/>
        </xdr:nvGrpSpPr>
        <xdr:grpSpPr>
          <a:xfrm>
            <a:off x="49164574" y="2831188"/>
            <a:ext cx="624027" cy="300126"/>
            <a:chOff x="46475240" y="2822048"/>
            <a:chExt cx="623378" cy="299029"/>
          </a:xfrm>
          <a:solidFill>
            <a:schemeClr val="bg1">
              <a:lumMod val="85000"/>
            </a:schemeClr>
          </a:solidFill>
        </xdr:grpSpPr>
        <xdr:sp macro="" textlink="">
          <xdr:nvSpPr>
            <xdr:cNvPr id="8" name="Rounded Rectangle 7">
              <a:extLst>
                <a:ext uri="{FF2B5EF4-FFF2-40B4-BE49-F238E27FC236}">
                  <a16:creationId xmlns:a16="http://schemas.microsoft.com/office/drawing/2014/main" id="{41046FD0-67E8-1A93-C64F-ACC0C3AFE74F}"/>
                </a:ext>
              </a:extLst>
            </xdr:cNvPr>
            <xdr:cNvSpPr/>
          </xdr:nvSpPr>
          <xdr:spPr>
            <a:xfrm>
              <a:off x="46475240" y="2822048"/>
              <a:ext cx="623378" cy="299029"/>
            </a:xfrm>
            <a:prstGeom prst="roundRect">
              <a:avLst/>
            </a:prstGeom>
            <a:grpFill/>
            <a:ln w="6350">
              <a:solidFill>
                <a:schemeClr val="tx2">
                  <a:lumMod val="75000"/>
                  <a:lumOff val="25000"/>
                </a:schemeClr>
              </a:solidFill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65100" prst="coolSlant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lvl="0" algn="l"/>
              <a:r>
                <a:rPr lang="en-US" sz="2400" b="1" u="none">
                  <a:solidFill>
                    <a:schemeClr val="tx2">
                      <a:lumMod val="75000"/>
                      <a:lumOff val="25000"/>
                    </a:schemeClr>
                  </a:solidFill>
                </a:rPr>
                <a:t>     </a:t>
              </a:r>
              <a:r>
                <a:rPr lang="en-US" sz="2400" b="1" u="none" baseline="0">
                  <a:solidFill>
                    <a:schemeClr val="tx2">
                      <a:lumMod val="75000"/>
                      <a:lumOff val="25000"/>
                    </a:schemeClr>
                  </a:solidFill>
                </a:rPr>
                <a:t> </a:t>
              </a:r>
              <a:r>
                <a:rPr lang="en-US" sz="2400" b="1" u="none">
                  <a:solidFill>
                    <a:schemeClr val="tx2">
                      <a:lumMod val="75000"/>
                      <a:lumOff val="25000"/>
                    </a:schemeClr>
                  </a:solidFill>
                </a:rPr>
                <a:t>PREV</a:t>
              </a:r>
            </a:p>
          </xdr:txBody>
        </xdr:sp>
        <xdr:sp macro="" textlink="">
          <xdr:nvSpPr>
            <xdr:cNvPr id="9" name="Triangle 8">
              <a:extLst>
                <a:ext uri="{FF2B5EF4-FFF2-40B4-BE49-F238E27FC236}">
                  <a16:creationId xmlns:a16="http://schemas.microsoft.com/office/drawing/2014/main" id="{171A691D-6724-C9C2-EF23-023E24D797CA}"/>
                </a:ext>
              </a:extLst>
            </xdr:cNvPr>
            <xdr:cNvSpPr/>
          </xdr:nvSpPr>
          <xdr:spPr>
            <a:xfrm rot="5400000" flipV="1">
              <a:off x="46568980" y="2943329"/>
              <a:ext cx="93919" cy="49602"/>
            </a:xfrm>
            <a:prstGeom prst="triangle">
              <a:avLst/>
            </a:prstGeom>
            <a:solidFill>
              <a:schemeClr val="tx2">
                <a:lumMod val="75000"/>
                <a:lumOff val="25000"/>
              </a:schemeClr>
            </a:solidFill>
            <a:ln>
              <a:solidFill>
                <a:schemeClr val="tx2">
                  <a:lumMod val="75000"/>
                  <a:lumOff val="2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 u="none">
                <a:solidFill>
                  <a:schemeClr val="tx2">
                    <a:lumMod val="75000"/>
                    <a:lumOff val="25000"/>
                  </a:schemeClr>
                </a:solidFill>
              </a:endParaRPr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CB6D-BD69-2F40-92B2-1165FB88000F}">
  <sheetPr codeName="Sheet7"/>
  <dimension ref="C6:R66"/>
  <sheetViews>
    <sheetView showGridLines="0" tabSelected="1" zoomScale="50" zoomScaleNormal="396" workbookViewId="0">
      <selection activeCell="N15" sqref="N15:Q16"/>
    </sheetView>
  </sheetViews>
  <sheetFormatPr baseColWidth="10" defaultRowHeight="16" x14ac:dyDescent="0.2"/>
  <sheetData>
    <row r="6" spans="13:18" ht="17" thickBot="1" x14ac:dyDescent="0.25"/>
    <row r="7" spans="13:18" x14ac:dyDescent="0.2">
      <c r="M7" s="18"/>
      <c r="N7" s="17"/>
      <c r="O7" s="17"/>
      <c r="P7" s="17"/>
      <c r="Q7" s="17"/>
      <c r="R7" s="16"/>
    </row>
    <row r="8" spans="13:18" ht="16" customHeight="1" thickBot="1" x14ac:dyDescent="0.25">
      <c r="M8" s="14"/>
      <c r="N8" s="13"/>
      <c r="O8" s="13"/>
      <c r="P8" s="13"/>
      <c r="Q8" s="13"/>
      <c r="R8" s="12"/>
    </row>
    <row r="9" spans="13:18" ht="16" customHeight="1" x14ac:dyDescent="0.2">
      <c r="M9" s="14"/>
      <c r="N9" s="100" t="s">
        <v>5</v>
      </c>
      <c r="O9" s="101"/>
      <c r="P9" s="101"/>
      <c r="Q9" s="102"/>
      <c r="R9" s="12"/>
    </row>
    <row r="10" spans="13:18" ht="16" customHeight="1" x14ac:dyDescent="0.2">
      <c r="M10" s="14"/>
      <c r="N10" s="103"/>
      <c r="O10" s="104"/>
      <c r="P10" s="104"/>
      <c r="Q10" s="105"/>
      <c r="R10" s="12"/>
    </row>
    <row r="11" spans="13:18" ht="16" customHeight="1" x14ac:dyDescent="0.2">
      <c r="M11" s="14"/>
      <c r="N11" s="103"/>
      <c r="O11" s="104"/>
      <c r="P11" s="104"/>
      <c r="Q11" s="105"/>
      <c r="R11" s="12"/>
    </row>
    <row r="12" spans="13:18" ht="16" customHeight="1" thickBot="1" x14ac:dyDescent="0.25">
      <c r="M12" s="14"/>
      <c r="N12" s="106"/>
      <c r="O12" s="107"/>
      <c r="P12" s="107"/>
      <c r="Q12" s="108"/>
      <c r="R12" s="12"/>
    </row>
    <row r="13" spans="13:18" ht="16" customHeight="1" x14ac:dyDescent="0.2">
      <c r="M13" s="14"/>
      <c r="N13" s="109" t="s">
        <v>4</v>
      </c>
      <c r="O13" s="110"/>
      <c r="P13" s="110"/>
      <c r="Q13" s="111"/>
      <c r="R13" s="12"/>
    </row>
    <row r="14" spans="13:18" ht="16" customHeight="1" thickBot="1" x14ac:dyDescent="0.25">
      <c r="M14" s="14"/>
      <c r="N14" s="112"/>
      <c r="O14" s="113"/>
      <c r="P14" s="113"/>
      <c r="Q14" s="114"/>
      <c r="R14" s="12"/>
    </row>
    <row r="15" spans="13:18" ht="16" customHeight="1" x14ac:dyDescent="0.2">
      <c r="M15" s="14"/>
      <c r="N15" s="92" t="s">
        <v>3</v>
      </c>
      <c r="O15" s="96"/>
      <c r="P15" s="96"/>
      <c r="Q15" s="97"/>
      <c r="R15" s="12"/>
    </row>
    <row r="16" spans="13:18" ht="16" customHeight="1" thickBot="1" x14ac:dyDescent="0.25">
      <c r="M16" s="14"/>
      <c r="N16" s="94"/>
      <c r="O16" s="98"/>
      <c r="P16" s="98"/>
      <c r="Q16" s="99"/>
      <c r="R16" s="12"/>
    </row>
    <row r="17" spans="13:18" ht="17" customHeight="1" x14ac:dyDescent="0.2">
      <c r="M17" s="14"/>
      <c r="N17" s="109" t="s">
        <v>2</v>
      </c>
      <c r="O17" s="111"/>
      <c r="P17" s="109" t="s">
        <v>1</v>
      </c>
      <c r="Q17" s="111"/>
      <c r="R17" s="12"/>
    </row>
    <row r="18" spans="13:18" ht="16" customHeight="1" thickBot="1" x14ac:dyDescent="0.25">
      <c r="M18" s="14"/>
      <c r="N18" s="112"/>
      <c r="O18" s="114"/>
      <c r="P18" s="112"/>
      <c r="Q18" s="114"/>
      <c r="R18" s="12"/>
    </row>
    <row r="19" spans="13:18" ht="16" customHeight="1" x14ac:dyDescent="0.2">
      <c r="M19" s="14"/>
      <c r="N19" s="92">
        <v>1</v>
      </c>
      <c r="O19" s="93"/>
      <c r="P19" s="96">
        <v>2025</v>
      </c>
      <c r="Q19" s="97"/>
      <c r="R19" s="12"/>
    </row>
    <row r="20" spans="13:18" ht="17" thickBot="1" x14ac:dyDescent="0.25">
      <c r="M20" s="14"/>
      <c r="N20" s="94"/>
      <c r="O20" s="95"/>
      <c r="P20" s="98"/>
      <c r="Q20" s="99"/>
      <c r="R20" s="12"/>
    </row>
    <row r="21" spans="13:18" ht="16" customHeight="1" x14ac:dyDescent="0.2">
      <c r="M21" s="14"/>
      <c r="N21" s="90" t="s">
        <v>0</v>
      </c>
      <c r="O21" s="90"/>
      <c r="P21" s="90"/>
      <c r="Q21" s="90"/>
      <c r="R21" s="12"/>
    </row>
    <row r="22" spans="13:18" x14ac:dyDescent="0.2">
      <c r="M22" s="14"/>
      <c r="N22" s="91"/>
      <c r="O22" s="91"/>
      <c r="P22" s="91"/>
      <c r="Q22" s="91"/>
      <c r="R22" s="12"/>
    </row>
    <row r="23" spans="13:18" x14ac:dyDescent="0.2">
      <c r="M23" s="14"/>
      <c r="N23" s="15"/>
      <c r="O23" s="15"/>
      <c r="P23" s="15"/>
      <c r="Q23" s="15"/>
      <c r="R23" s="12"/>
    </row>
    <row r="24" spans="13:18" x14ac:dyDescent="0.2">
      <c r="M24" s="14"/>
      <c r="N24" s="15"/>
      <c r="O24" s="15"/>
      <c r="P24" s="15"/>
      <c r="Q24" s="15"/>
      <c r="R24" s="12"/>
    </row>
    <row r="25" spans="13:18" x14ac:dyDescent="0.2">
      <c r="M25" s="14"/>
      <c r="N25" s="15"/>
      <c r="O25" s="15"/>
      <c r="P25" s="15"/>
      <c r="Q25" s="15"/>
      <c r="R25" s="12"/>
    </row>
    <row r="26" spans="13:18" x14ac:dyDescent="0.2">
      <c r="M26" s="14"/>
      <c r="N26" s="15"/>
      <c r="O26" s="15"/>
      <c r="P26" s="15"/>
      <c r="Q26" s="15"/>
      <c r="R26" s="12"/>
    </row>
    <row r="27" spans="13:18" x14ac:dyDescent="0.2">
      <c r="M27" s="14"/>
      <c r="N27" s="13"/>
      <c r="O27" s="13"/>
      <c r="P27" s="13"/>
      <c r="Q27" s="13"/>
      <c r="R27" s="12"/>
    </row>
    <row r="28" spans="13:18" ht="17" thickBot="1" x14ac:dyDescent="0.25">
      <c r="M28" s="11"/>
      <c r="N28" s="10"/>
      <c r="O28" s="10"/>
      <c r="P28" s="10"/>
      <c r="Q28" s="10"/>
      <c r="R28" s="9"/>
    </row>
    <row r="29" spans="13:18" ht="18" thickTop="1" thickBot="1" x14ac:dyDescent="0.25">
      <c r="M29" s="8"/>
      <c r="N29" s="7"/>
      <c r="O29" s="7"/>
      <c r="P29" s="7"/>
      <c r="Q29" s="7"/>
      <c r="R29" s="6"/>
    </row>
    <row r="30" spans="13:18" ht="17" thickBot="1" x14ac:dyDescent="0.25">
      <c r="M30" s="5"/>
      <c r="N30" s="4"/>
      <c r="O30" s="4"/>
      <c r="P30" s="4"/>
      <c r="Q30" s="4"/>
      <c r="R30" s="3"/>
    </row>
    <row r="62" spans="3:3" x14ac:dyDescent="0.2">
      <c r="C62" s="1"/>
    </row>
    <row r="64" spans="3:3" x14ac:dyDescent="0.2">
      <c r="C64" s="2"/>
    </row>
    <row r="66" spans="3:3" x14ac:dyDescent="0.2">
      <c r="C66" s="1"/>
    </row>
  </sheetData>
  <sheetProtection sheet="1" objects="1" scenarios="1" selectLockedCells="1"/>
  <mergeCells count="8">
    <mergeCell ref="N21:Q22"/>
    <mergeCell ref="N19:O20"/>
    <mergeCell ref="P19:Q20"/>
    <mergeCell ref="N9:Q12"/>
    <mergeCell ref="N13:Q14"/>
    <mergeCell ref="N15:Q16"/>
    <mergeCell ref="N17:O18"/>
    <mergeCell ref="P17:Q1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DFCEE-9A07-3E46-9C11-6D9E1F31D5A6}">
  <sheetPr codeName="Sheet9"/>
  <dimension ref="B2:JC12"/>
  <sheetViews>
    <sheetView topLeftCell="ER1" zoomScale="75" workbookViewId="0">
      <selection activeCell="FT5" sqref="FT5"/>
    </sheetView>
  </sheetViews>
  <sheetFormatPr baseColWidth="10" defaultRowHeight="16" x14ac:dyDescent="0.2"/>
  <cols>
    <col min="3" max="3" width="13" bestFit="1" customWidth="1"/>
  </cols>
  <sheetData>
    <row r="2" spans="2:263" ht="17" thickBot="1" x14ac:dyDescent="0.25"/>
    <row r="3" spans="2:263" ht="17" thickBot="1" x14ac:dyDescent="0.25">
      <c r="B3" s="29" t="s">
        <v>6</v>
      </c>
      <c r="C3" s="28" t="str">
        <f ca="1">IF(TEXT(DATE(2025,1,1),"DDD")="Sat",TEXT(DATE(2025,1,1),"M/D/YYYY")+2,IF(TEXT(DATE(2025,1,1),"DDD")="Sun",TEXT(DATE(2025,1,1),"M/D/YYYY")+1,TEXT(DATE(2025,1,1),"M/D/YYYY")))</f>
        <v>1/1/2025</v>
      </c>
      <c r="D3" s="28" t="str">
        <f t="shared" ref="D3:BO3" ca="1" si="0">IF(TEXT(DATE(2025,MONTH(C3),DAY(C3)+1),"DDD")="Sat",TEXT(DATE(2025,MONTH(C3),DAY(C3)+1),"M/D/YYYY")+2,IF(TEXT(DATE(2025,MONTH(C3),DAY(C3)+1),"DDD")="Sun",TEXT(DATE(2025,MONTH(C3),DAY(C3)+1),"M/D/YYYY")+1,TEXT(DATE(2025,MONTH(C3),DAY(C3)+1),"M/D/YYYY")))</f>
        <v>1/2/2025</v>
      </c>
      <c r="E3" s="28" t="str">
        <f t="shared" ca="1" si="0"/>
        <v>1/3/2025</v>
      </c>
      <c r="F3" s="28">
        <f t="shared" ca="1" si="0"/>
        <v>45663</v>
      </c>
      <c r="G3" s="28" t="str">
        <f t="shared" ca="1" si="0"/>
        <v>1/7/2025</v>
      </c>
      <c r="H3" s="28" t="str">
        <f t="shared" ca="1" si="0"/>
        <v>1/8/2025</v>
      </c>
      <c r="I3" s="28" t="str">
        <f t="shared" ca="1" si="0"/>
        <v>1/9/2025</v>
      </c>
      <c r="J3" s="28" t="str">
        <f t="shared" ca="1" si="0"/>
        <v>1/10/2025</v>
      </c>
      <c r="K3" s="28">
        <f t="shared" ca="1" si="0"/>
        <v>45670</v>
      </c>
      <c r="L3" s="28" t="str">
        <f t="shared" ca="1" si="0"/>
        <v>1/14/2025</v>
      </c>
      <c r="M3" s="28" t="str">
        <f t="shared" ca="1" si="0"/>
        <v>1/15/2025</v>
      </c>
      <c r="N3" s="28" t="str">
        <f t="shared" ca="1" si="0"/>
        <v>1/16/2025</v>
      </c>
      <c r="O3" s="28" t="str">
        <f t="shared" ca="1" si="0"/>
        <v>1/17/2025</v>
      </c>
      <c r="P3" s="28">
        <f t="shared" ca="1" si="0"/>
        <v>45677</v>
      </c>
      <c r="Q3" s="28" t="str">
        <f t="shared" ca="1" si="0"/>
        <v>1/21/2025</v>
      </c>
      <c r="R3" s="28" t="str">
        <f t="shared" ca="1" si="0"/>
        <v>1/22/2025</v>
      </c>
      <c r="S3" s="28" t="str">
        <f t="shared" ca="1" si="0"/>
        <v>1/23/2025</v>
      </c>
      <c r="T3" s="28" t="str">
        <f t="shared" ca="1" si="0"/>
        <v>1/24/2025</v>
      </c>
      <c r="U3" s="28">
        <f t="shared" ca="1" si="0"/>
        <v>45684</v>
      </c>
      <c r="V3" s="28" t="str">
        <f t="shared" ca="1" si="0"/>
        <v>1/28/2025</v>
      </c>
      <c r="W3" s="28" t="str">
        <f t="shared" ca="1" si="0"/>
        <v>1/29/2025</v>
      </c>
      <c r="X3" s="28" t="str">
        <f t="shared" ca="1" si="0"/>
        <v>1/30/2025</v>
      </c>
      <c r="Y3" s="28" t="str">
        <f t="shared" ca="1" si="0"/>
        <v>1/31/2025</v>
      </c>
      <c r="Z3" s="28">
        <f t="shared" ca="1" si="0"/>
        <v>45691</v>
      </c>
      <c r="AA3" s="28" t="str">
        <f t="shared" ca="1" si="0"/>
        <v>2/4/2025</v>
      </c>
      <c r="AB3" s="28" t="str">
        <f t="shared" ca="1" si="0"/>
        <v>2/5/2025</v>
      </c>
      <c r="AC3" s="28" t="str">
        <f t="shared" ca="1" si="0"/>
        <v>2/6/2025</v>
      </c>
      <c r="AD3" s="28" t="str">
        <f t="shared" ca="1" si="0"/>
        <v>2/7/2025</v>
      </c>
      <c r="AE3" s="28">
        <f t="shared" ca="1" si="0"/>
        <v>45698</v>
      </c>
      <c r="AF3" s="28" t="str">
        <f t="shared" ca="1" si="0"/>
        <v>2/11/2025</v>
      </c>
      <c r="AG3" s="28" t="str">
        <f t="shared" ca="1" si="0"/>
        <v>2/12/2025</v>
      </c>
      <c r="AH3" s="28" t="str">
        <f t="shared" ca="1" si="0"/>
        <v>2/13/2025</v>
      </c>
      <c r="AI3" s="28" t="str">
        <f t="shared" ca="1" si="0"/>
        <v>2/14/2025</v>
      </c>
      <c r="AJ3" s="28">
        <f t="shared" ca="1" si="0"/>
        <v>45705</v>
      </c>
      <c r="AK3" s="28" t="str">
        <f t="shared" ca="1" si="0"/>
        <v>2/18/2025</v>
      </c>
      <c r="AL3" s="28" t="str">
        <f t="shared" ca="1" si="0"/>
        <v>2/19/2025</v>
      </c>
      <c r="AM3" s="28" t="str">
        <f t="shared" ca="1" si="0"/>
        <v>2/20/2025</v>
      </c>
      <c r="AN3" s="28" t="str">
        <f t="shared" ca="1" si="0"/>
        <v>2/21/2025</v>
      </c>
      <c r="AO3" s="28">
        <f t="shared" ca="1" si="0"/>
        <v>45712</v>
      </c>
      <c r="AP3" s="28" t="str">
        <f t="shared" ca="1" si="0"/>
        <v>2/25/2025</v>
      </c>
      <c r="AQ3" s="28" t="str">
        <f t="shared" ca="1" si="0"/>
        <v>2/26/2025</v>
      </c>
      <c r="AR3" s="28" t="str">
        <f t="shared" ca="1" si="0"/>
        <v>2/27/2025</v>
      </c>
      <c r="AS3" s="28" t="str">
        <f t="shared" ca="1" si="0"/>
        <v>2/28/2025</v>
      </c>
      <c r="AT3" s="28">
        <f t="shared" ca="1" si="0"/>
        <v>45719</v>
      </c>
      <c r="AU3" s="28" t="str">
        <f t="shared" ca="1" si="0"/>
        <v>3/4/2025</v>
      </c>
      <c r="AV3" s="28" t="str">
        <f t="shared" ca="1" si="0"/>
        <v>3/5/2025</v>
      </c>
      <c r="AW3" s="28" t="str">
        <f t="shared" ca="1" si="0"/>
        <v>3/6/2025</v>
      </c>
      <c r="AX3" s="28" t="str">
        <f t="shared" ca="1" si="0"/>
        <v>3/7/2025</v>
      </c>
      <c r="AY3" s="28">
        <f t="shared" ca="1" si="0"/>
        <v>45726</v>
      </c>
      <c r="AZ3" s="28" t="str">
        <f t="shared" ca="1" si="0"/>
        <v>3/11/2025</v>
      </c>
      <c r="BA3" s="28" t="str">
        <f t="shared" ca="1" si="0"/>
        <v>3/12/2025</v>
      </c>
      <c r="BB3" s="28" t="str">
        <f t="shared" ca="1" si="0"/>
        <v>3/13/2025</v>
      </c>
      <c r="BC3" s="28" t="str">
        <f t="shared" ca="1" si="0"/>
        <v>3/14/2025</v>
      </c>
      <c r="BD3" s="28">
        <f t="shared" ca="1" si="0"/>
        <v>45733</v>
      </c>
      <c r="BE3" s="28" t="str">
        <f t="shared" ca="1" si="0"/>
        <v>3/18/2025</v>
      </c>
      <c r="BF3" s="28" t="str">
        <f t="shared" ca="1" si="0"/>
        <v>3/19/2025</v>
      </c>
      <c r="BG3" s="28" t="str">
        <f t="shared" ca="1" si="0"/>
        <v>3/20/2025</v>
      </c>
      <c r="BH3" s="28" t="str">
        <f t="shared" ca="1" si="0"/>
        <v>3/21/2025</v>
      </c>
      <c r="BI3" s="28">
        <f t="shared" ca="1" si="0"/>
        <v>45740</v>
      </c>
      <c r="BJ3" s="28" t="str">
        <f t="shared" ca="1" si="0"/>
        <v>3/25/2025</v>
      </c>
      <c r="BK3" s="28" t="str">
        <f t="shared" ca="1" si="0"/>
        <v>3/26/2025</v>
      </c>
      <c r="BL3" s="28" t="str">
        <f t="shared" ca="1" si="0"/>
        <v>3/27/2025</v>
      </c>
      <c r="BM3" s="28" t="str">
        <f t="shared" ca="1" si="0"/>
        <v>3/28/2025</v>
      </c>
      <c r="BN3" s="28">
        <f t="shared" ca="1" si="0"/>
        <v>45747</v>
      </c>
      <c r="BO3" s="28" t="str">
        <f t="shared" ca="1" si="0"/>
        <v>4/1/2025</v>
      </c>
      <c r="BP3" s="28" t="str">
        <f t="shared" ref="BP3:EA3" ca="1" si="1">IF(TEXT(DATE(2025,MONTH(BO3),DAY(BO3)+1),"DDD")="Sat",TEXT(DATE(2025,MONTH(BO3),DAY(BO3)+1),"M/D/YYYY")+2,IF(TEXT(DATE(2025,MONTH(BO3),DAY(BO3)+1),"DDD")="Sun",TEXT(DATE(2025,MONTH(BO3),DAY(BO3)+1),"M/D/YYYY")+1,TEXT(DATE(2025,MONTH(BO3),DAY(BO3)+1),"M/D/YYYY")))</f>
        <v>4/2/2025</v>
      </c>
      <c r="BQ3" s="28" t="str">
        <f t="shared" ca="1" si="1"/>
        <v>4/3/2025</v>
      </c>
      <c r="BR3" s="28" t="str">
        <f t="shared" ca="1" si="1"/>
        <v>4/4/2025</v>
      </c>
      <c r="BS3" s="28">
        <f t="shared" ca="1" si="1"/>
        <v>45754</v>
      </c>
      <c r="BT3" s="28" t="str">
        <f t="shared" ca="1" si="1"/>
        <v>4/8/2025</v>
      </c>
      <c r="BU3" s="28" t="str">
        <f t="shared" ca="1" si="1"/>
        <v>4/9/2025</v>
      </c>
      <c r="BV3" s="28" t="str">
        <f t="shared" ca="1" si="1"/>
        <v>4/10/2025</v>
      </c>
      <c r="BW3" s="28" t="str">
        <f t="shared" ca="1" si="1"/>
        <v>4/11/2025</v>
      </c>
      <c r="BX3" s="28">
        <f t="shared" ca="1" si="1"/>
        <v>45761</v>
      </c>
      <c r="BY3" s="28" t="str">
        <f t="shared" ca="1" si="1"/>
        <v>4/15/2025</v>
      </c>
      <c r="BZ3" s="28" t="str">
        <f t="shared" ca="1" si="1"/>
        <v>4/16/2025</v>
      </c>
      <c r="CA3" s="28" t="str">
        <f t="shared" ca="1" si="1"/>
        <v>4/17/2025</v>
      </c>
      <c r="CB3" s="28" t="str">
        <f t="shared" ca="1" si="1"/>
        <v>4/18/2025</v>
      </c>
      <c r="CC3" s="28">
        <f t="shared" ca="1" si="1"/>
        <v>45768</v>
      </c>
      <c r="CD3" s="28" t="str">
        <f t="shared" ca="1" si="1"/>
        <v>4/22/2025</v>
      </c>
      <c r="CE3" s="28" t="str">
        <f t="shared" ca="1" si="1"/>
        <v>4/23/2025</v>
      </c>
      <c r="CF3" s="28" t="str">
        <f t="shared" ca="1" si="1"/>
        <v>4/24/2025</v>
      </c>
      <c r="CG3" s="28" t="str">
        <f t="shared" ca="1" si="1"/>
        <v>4/25/2025</v>
      </c>
      <c r="CH3" s="28">
        <f t="shared" ca="1" si="1"/>
        <v>45775</v>
      </c>
      <c r="CI3" s="28" t="str">
        <f t="shared" ca="1" si="1"/>
        <v>4/29/2025</v>
      </c>
      <c r="CJ3" s="28" t="str">
        <f t="shared" ca="1" si="1"/>
        <v>4/30/2025</v>
      </c>
      <c r="CK3" s="28" t="str">
        <f t="shared" ca="1" si="1"/>
        <v>5/1/2025</v>
      </c>
      <c r="CL3" s="28" t="str">
        <f t="shared" ca="1" si="1"/>
        <v>5/2/2025</v>
      </c>
      <c r="CM3" s="28">
        <f t="shared" ca="1" si="1"/>
        <v>45782</v>
      </c>
      <c r="CN3" s="28" t="str">
        <f t="shared" ca="1" si="1"/>
        <v>5/6/2025</v>
      </c>
      <c r="CO3" s="28" t="str">
        <f t="shared" ca="1" si="1"/>
        <v>5/7/2025</v>
      </c>
      <c r="CP3" s="28" t="str">
        <f t="shared" ca="1" si="1"/>
        <v>5/8/2025</v>
      </c>
      <c r="CQ3" s="28" t="str">
        <f t="shared" ca="1" si="1"/>
        <v>5/9/2025</v>
      </c>
      <c r="CR3" s="28">
        <f t="shared" ca="1" si="1"/>
        <v>45789</v>
      </c>
      <c r="CS3" s="28" t="str">
        <f t="shared" ca="1" si="1"/>
        <v>5/13/2025</v>
      </c>
      <c r="CT3" s="28" t="str">
        <f t="shared" ca="1" si="1"/>
        <v>5/14/2025</v>
      </c>
      <c r="CU3" s="28" t="str">
        <f t="shared" ca="1" si="1"/>
        <v>5/15/2025</v>
      </c>
      <c r="CV3" s="28" t="str">
        <f t="shared" ca="1" si="1"/>
        <v>5/16/2025</v>
      </c>
      <c r="CW3" s="28">
        <f t="shared" ca="1" si="1"/>
        <v>45796</v>
      </c>
      <c r="CX3" s="28" t="str">
        <f t="shared" ca="1" si="1"/>
        <v>5/20/2025</v>
      </c>
      <c r="CY3" s="28" t="str">
        <f t="shared" ca="1" si="1"/>
        <v>5/21/2025</v>
      </c>
      <c r="CZ3" s="28" t="str">
        <f t="shared" ca="1" si="1"/>
        <v>5/22/2025</v>
      </c>
      <c r="DA3" s="28" t="str">
        <f t="shared" ca="1" si="1"/>
        <v>5/23/2025</v>
      </c>
      <c r="DB3" s="28">
        <f t="shared" ca="1" si="1"/>
        <v>45803</v>
      </c>
      <c r="DC3" s="28" t="str">
        <f t="shared" ca="1" si="1"/>
        <v>5/27/2025</v>
      </c>
      <c r="DD3" s="28" t="str">
        <f t="shared" ca="1" si="1"/>
        <v>5/28/2025</v>
      </c>
      <c r="DE3" s="28" t="str">
        <f t="shared" ca="1" si="1"/>
        <v>5/29/2025</v>
      </c>
      <c r="DF3" s="28" t="str">
        <f t="shared" ca="1" si="1"/>
        <v>5/30/2025</v>
      </c>
      <c r="DG3" s="28">
        <f t="shared" ca="1" si="1"/>
        <v>45810</v>
      </c>
      <c r="DH3" s="28" t="str">
        <f t="shared" ca="1" si="1"/>
        <v>6/3/2025</v>
      </c>
      <c r="DI3" s="28" t="str">
        <f t="shared" ca="1" si="1"/>
        <v>6/4/2025</v>
      </c>
      <c r="DJ3" s="28" t="str">
        <f t="shared" ca="1" si="1"/>
        <v>6/5/2025</v>
      </c>
      <c r="DK3" s="28" t="str">
        <f t="shared" ca="1" si="1"/>
        <v>6/6/2025</v>
      </c>
      <c r="DL3" s="28">
        <f t="shared" ca="1" si="1"/>
        <v>45817</v>
      </c>
      <c r="DM3" s="28" t="str">
        <f t="shared" ca="1" si="1"/>
        <v>6/10/2025</v>
      </c>
      <c r="DN3" s="28" t="str">
        <f t="shared" ca="1" si="1"/>
        <v>6/11/2025</v>
      </c>
      <c r="DO3" s="28" t="str">
        <f t="shared" ca="1" si="1"/>
        <v>6/12/2025</v>
      </c>
      <c r="DP3" s="28" t="str">
        <f t="shared" ca="1" si="1"/>
        <v>6/13/2025</v>
      </c>
      <c r="DQ3" s="28">
        <f t="shared" ca="1" si="1"/>
        <v>45824</v>
      </c>
      <c r="DR3" s="28" t="str">
        <f t="shared" ca="1" si="1"/>
        <v>6/17/2025</v>
      </c>
      <c r="DS3" s="28" t="str">
        <f t="shared" ca="1" si="1"/>
        <v>6/18/2025</v>
      </c>
      <c r="DT3" s="28" t="str">
        <f t="shared" ca="1" si="1"/>
        <v>6/19/2025</v>
      </c>
      <c r="DU3" s="28" t="str">
        <f t="shared" ca="1" si="1"/>
        <v>6/20/2025</v>
      </c>
      <c r="DV3" s="28">
        <f t="shared" ca="1" si="1"/>
        <v>45831</v>
      </c>
      <c r="DW3" s="28" t="str">
        <f t="shared" ca="1" si="1"/>
        <v>6/24/2025</v>
      </c>
      <c r="DX3" s="28" t="str">
        <f t="shared" ca="1" si="1"/>
        <v>6/25/2025</v>
      </c>
      <c r="DY3" s="28" t="str">
        <f t="shared" ca="1" si="1"/>
        <v>6/26/2025</v>
      </c>
      <c r="DZ3" s="28" t="str">
        <f t="shared" ca="1" si="1"/>
        <v>6/27/2025</v>
      </c>
      <c r="EA3" s="28">
        <f t="shared" ca="1" si="1"/>
        <v>45838</v>
      </c>
      <c r="EB3" s="28" t="str">
        <f t="shared" ref="EB3:GM3" ca="1" si="2">IF(TEXT(DATE(2025,MONTH(EA3),DAY(EA3)+1),"DDD")="Sat",TEXT(DATE(2025,MONTH(EA3),DAY(EA3)+1),"M/D/YYYY")+2,IF(TEXT(DATE(2025,MONTH(EA3),DAY(EA3)+1),"DDD")="Sun",TEXT(DATE(2025,MONTH(EA3),DAY(EA3)+1),"M/D/YYYY")+1,TEXT(DATE(2025,MONTH(EA3),DAY(EA3)+1),"M/D/YYYY")))</f>
        <v>7/1/2025</v>
      </c>
      <c r="EC3" s="28" t="str">
        <f t="shared" ca="1" si="2"/>
        <v>7/2/2025</v>
      </c>
      <c r="ED3" s="28" t="str">
        <f t="shared" ca="1" si="2"/>
        <v>7/3/2025</v>
      </c>
      <c r="EE3" s="28" t="str">
        <f t="shared" ca="1" si="2"/>
        <v>7/4/2025</v>
      </c>
      <c r="EF3" s="28">
        <f t="shared" ca="1" si="2"/>
        <v>45845</v>
      </c>
      <c r="EG3" s="28" t="str">
        <f t="shared" ca="1" si="2"/>
        <v>7/8/2025</v>
      </c>
      <c r="EH3" s="28" t="str">
        <f t="shared" ca="1" si="2"/>
        <v>7/9/2025</v>
      </c>
      <c r="EI3" s="28" t="str">
        <f t="shared" ca="1" si="2"/>
        <v>7/10/2025</v>
      </c>
      <c r="EJ3" s="28" t="str">
        <f t="shared" ca="1" si="2"/>
        <v>7/11/2025</v>
      </c>
      <c r="EK3" s="28">
        <f t="shared" ca="1" si="2"/>
        <v>45852</v>
      </c>
      <c r="EL3" s="28" t="str">
        <f t="shared" ca="1" si="2"/>
        <v>7/15/2025</v>
      </c>
      <c r="EM3" s="28" t="str">
        <f t="shared" ca="1" si="2"/>
        <v>7/16/2025</v>
      </c>
      <c r="EN3" s="28" t="str">
        <f t="shared" ca="1" si="2"/>
        <v>7/17/2025</v>
      </c>
      <c r="EO3" s="28" t="str">
        <f t="shared" ca="1" si="2"/>
        <v>7/18/2025</v>
      </c>
      <c r="EP3" s="28">
        <f t="shared" ca="1" si="2"/>
        <v>45859</v>
      </c>
      <c r="EQ3" s="28" t="str">
        <f t="shared" ca="1" si="2"/>
        <v>7/22/2025</v>
      </c>
      <c r="ER3" s="28" t="str">
        <f t="shared" ca="1" si="2"/>
        <v>7/23/2025</v>
      </c>
      <c r="ES3" s="28" t="str">
        <f t="shared" ca="1" si="2"/>
        <v>7/24/2025</v>
      </c>
      <c r="ET3" s="28" t="str">
        <f t="shared" ca="1" si="2"/>
        <v>7/25/2025</v>
      </c>
      <c r="EU3" s="28">
        <f t="shared" ca="1" si="2"/>
        <v>45866</v>
      </c>
      <c r="EV3" s="28" t="str">
        <f t="shared" ca="1" si="2"/>
        <v>7/29/2025</v>
      </c>
      <c r="EW3" s="28" t="str">
        <f t="shared" ca="1" si="2"/>
        <v>7/30/2025</v>
      </c>
      <c r="EX3" s="28" t="str">
        <f t="shared" ca="1" si="2"/>
        <v>7/31/2025</v>
      </c>
      <c r="EY3" s="28" t="str">
        <f t="shared" ca="1" si="2"/>
        <v>8/1/2025</v>
      </c>
      <c r="EZ3" s="28">
        <f t="shared" ca="1" si="2"/>
        <v>45873</v>
      </c>
      <c r="FA3" s="28" t="str">
        <f t="shared" ca="1" si="2"/>
        <v>8/5/2025</v>
      </c>
      <c r="FB3" s="28" t="str">
        <f t="shared" ca="1" si="2"/>
        <v>8/6/2025</v>
      </c>
      <c r="FC3" s="28" t="str">
        <f t="shared" ca="1" si="2"/>
        <v>8/7/2025</v>
      </c>
      <c r="FD3" s="28" t="str">
        <f t="shared" ca="1" si="2"/>
        <v>8/8/2025</v>
      </c>
      <c r="FE3" s="28">
        <f t="shared" ca="1" si="2"/>
        <v>45880</v>
      </c>
      <c r="FF3" s="28" t="str">
        <f t="shared" ca="1" si="2"/>
        <v>8/12/2025</v>
      </c>
      <c r="FG3" s="28" t="str">
        <f t="shared" ca="1" si="2"/>
        <v>8/13/2025</v>
      </c>
      <c r="FH3" s="28" t="str">
        <f t="shared" ca="1" si="2"/>
        <v>8/14/2025</v>
      </c>
      <c r="FI3" s="28" t="str">
        <f t="shared" ca="1" si="2"/>
        <v>8/15/2025</v>
      </c>
      <c r="FJ3" s="28">
        <f t="shared" ca="1" si="2"/>
        <v>45887</v>
      </c>
      <c r="FK3" s="28" t="str">
        <f t="shared" ca="1" si="2"/>
        <v>8/19/2025</v>
      </c>
      <c r="FL3" s="28" t="str">
        <f t="shared" ca="1" si="2"/>
        <v>8/20/2025</v>
      </c>
      <c r="FM3" s="28" t="str">
        <f t="shared" ca="1" si="2"/>
        <v>8/21/2025</v>
      </c>
      <c r="FN3" s="28" t="str">
        <f t="shared" ca="1" si="2"/>
        <v>8/22/2025</v>
      </c>
      <c r="FO3" s="28">
        <f t="shared" ca="1" si="2"/>
        <v>45894</v>
      </c>
      <c r="FP3" s="28" t="str">
        <f t="shared" ca="1" si="2"/>
        <v>8/26/2025</v>
      </c>
      <c r="FQ3" s="28" t="str">
        <f t="shared" ca="1" si="2"/>
        <v>8/27/2025</v>
      </c>
      <c r="FR3" s="28" t="str">
        <f t="shared" ca="1" si="2"/>
        <v>8/28/2025</v>
      </c>
      <c r="FS3" s="28" t="str">
        <f t="shared" ca="1" si="2"/>
        <v>8/29/2025</v>
      </c>
      <c r="FT3" s="28">
        <f t="shared" ca="1" si="2"/>
        <v>45901</v>
      </c>
      <c r="FU3" s="28" t="str">
        <f t="shared" ca="1" si="2"/>
        <v>9/2/2025</v>
      </c>
      <c r="FV3" s="28" t="str">
        <f t="shared" ca="1" si="2"/>
        <v>9/3/2025</v>
      </c>
      <c r="FW3" s="28" t="str">
        <f t="shared" ca="1" si="2"/>
        <v>9/4/2025</v>
      </c>
      <c r="FX3" s="28" t="str">
        <f t="shared" ca="1" si="2"/>
        <v>9/5/2025</v>
      </c>
      <c r="FY3" s="28">
        <f t="shared" ca="1" si="2"/>
        <v>45908</v>
      </c>
      <c r="FZ3" s="28" t="str">
        <f t="shared" ca="1" si="2"/>
        <v>9/9/2025</v>
      </c>
      <c r="GA3" s="28" t="str">
        <f t="shared" ca="1" si="2"/>
        <v>9/10/2025</v>
      </c>
      <c r="GB3" s="28" t="str">
        <f t="shared" ca="1" si="2"/>
        <v>9/11/2025</v>
      </c>
      <c r="GC3" s="28" t="str">
        <f t="shared" ca="1" si="2"/>
        <v>9/12/2025</v>
      </c>
      <c r="GD3" s="28">
        <f t="shared" ca="1" si="2"/>
        <v>45915</v>
      </c>
      <c r="GE3" s="28" t="str">
        <f t="shared" ca="1" si="2"/>
        <v>9/16/2025</v>
      </c>
      <c r="GF3" s="28" t="str">
        <f t="shared" ca="1" si="2"/>
        <v>9/17/2025</v>
      </c>
      <c r="GG3" s="28" t="str">
        <f t="shared" ca="1" si="2"/>
        <v>9/18/2025</v>
      </c>
      <c r="GH3" s="28" t="str">
        <f t="shared" ca="1" si="2"/>
        <v>9/19/2025</v>
      </c>
      <c r="GI3" s="28">
        <f t="shared" ca="1" si="2"/>
        <v>45922</v>
      </c>
      <c r="GJ3" s="28" t="str">
        <f t="shared" ca="1" si="2"/>
        <v>9/23/2025</v>
      </c>
      <c r="GK3" s="28" t="str">
        <f t="shared" ca="1" si="2"/>
        <v>9/24/2025</v>
      </c>
      <c r="GL3" s="28" t="str">
        <f t="shared" ca="1" si="2"/>
        <v>9/25/2025</v>
      </c>
      <c r="GM3" s="28" t="str">
        <f t="shared" ca="1" si="2"/>
        <v>9/26/2025</v>
      </c>
      <c r="GN3" s="28">
        <f t="shared" ref="GN3:JC3" ca="1" si="3">IF(TEXT(DATE(2025,MONTH(GM3),DAY(GM3)+1),"DDD")="Sat",TEXT(DATE(2025,MONTH(GM3),DAY(GM3)+1),"M/D/YYYY")+2,IF(TEXT(DATE(2025,MONTH(GM3),DAY(GM3)+1),"DDD")="Sun",TEXT(DATE(2025,MONTH(GM3),DAY(GM3)+1),"M/D/YYYY")+1,TEXT(DATE(2025,MONTH(GM3),DAY(GM3)+1),"M/D/YYYY")))</f>
        <v>45929</v>
      </c>
      <c r="GO3" s="28" t="str">
        <f t="shared" ca="1" si="3"/>
        <v>9/30/2025</v>
      </c>
      <c r="GP3" s="28" t="str">
        <f t="shared" ca="1" si="3"/>
        <v>10/1/2025</v>
      </c>
      <c r="GQ3" s="28" t="str">
        <f t="shared" ca="1" si="3"/>
        <v>10/2/2025</v>
      </c>
      <c r="GR3" s="28" t="str">
        <f t="shared" ca="1" si="3"/>
        <v>10/3/2025</v>
      </c>
      <c r="GS3" s="28">
        <f t="shared" ca="1" si="3"/>
        <v>45936</v>
      </c>
      <c r="GT3" s="28" t="str">
        <f t="shared" ca="1" si="3"/>
        <v>10/7/2025</v>
      </c>
      <c r="GU3" s="28" t="str">
        <f t="shared" ca="1" si="3"/>
        <v>10/8/2025</v>
      </c>
      <c r="GV3" s="28" t="str">
        <f t="shared" ca="1" si="3"/>
        <v>10/9/2025</v>
      </c>
      <c r="GW3" s="28" t="str">
        <f t="shared" ca="1" si="3"/>
        <v>10/10/2025</v>
      </c>
      <c r="GX3" s="28">
        <f t="shared" ca="1" si="3"/>
        <v>45943</v>
      </c>
      <c r="GY3" s="28" t="str">
        <f t="shared" ca="1" si="3"/>
        <v>10/14/2025</v>
      </c>
      <c r="GZ3" s="28" t="str">
        <f t="shared" ca="1" si="3"/>
        <v>10/15/2025</v>
      </c>
      <c r="HA3" s="28" t="str">
        <f t="shared" ca="1" si="3"/>
        <v>10/16/2025</v>
      </c>
      <c r="HB3" s="28" t="str">
        <f t="shared" ca="1" si="3"/>
        <v>10/17/2025</v>
      </c>
      <c r="HC3" s="28">
        <f t="shared" ca="1" si="3"/>
        <v>45950</v>
      </c>
      <c r="HD3" s="28" t="str">
        <f t="shared" ca="1" si="3"/>
        <v>10/21/2025</v>
      </c>
      <c r="HE3" s="28" t="str">
        <f t="shared" ca="1" si="3"/>
        <v>10/22/2025</v>
      </c>
      <c r="HF3" s="28" t="str">
        <f t="shared" ca="1" si="3"/>
        <v>10/23/2025</v>
      </c>
      <c r="HG3" s="28" t="str">
        <f t="shared" ca="1" si="3"/>
        <v>10/24/2025</v>
      </c>
      <c r="HH3" s="28">
        <f t="shared" ca="1" si="3"/>
        <v>45957</v>
      </c>
      <c r="HI3" s="28" t="str">
        <f t="shared" ca="1" si="3"/>
        <v>10/28/2025</v>
      </c>
      <c r="HJ3" s="28" t="str">
        <f t="shared" ca="1" si="3"/>
        <v>10/29/2025</v>
      </c>
      <c r="HK3" s="28" t="str">
        <f t="shared" ca="1" si="3"/>
        <v>10/30/2025</v>
      </c>
      <c r="HL3" s="28" t="str">
        <f t="shared" ca="1" si="3"/>
        <v>10/31/2025</v>
      </c>
      <c r="HM3" s="28">
        <f t="shared" ca="1" si="3"/>
        <v>45964</v>
      </c>
      <c r="HN3" s="28" t="str">
        <f t="shared" ca="1" si="3"/>
        <v>11/4/2025</v>
      </c>
      <c r="HO3" s="28" t="str">
        <f t="shared" ca="1" si="3"/>
        <v>11/5/2025</v>
      </c>
      <c r="HP3" s="28" t="str">
        <f t="shared" ca="1" si="3"/>
        <v>11/6/2025</v>
      </c>
      <c r="HQ3" s="28" t="str">
        <f t="shared" ca="1" si="3"/>
        <v>11/7/2025</v>
      </c>
      <c r="HR3" s="28">
        <f t="shared" ca="1" si="3"/>
        <v>45971</v>
      </c>
      <c r="HS3" s="28" t="str">
        <f t="shared" ca="1" si="3"/>
        <v>11/11/2025</v>
      </c>
      <c r="HT3" s="28" t="str">
        <f t="shared" ca="1" si="3"/>
        <v>11/12/2025</v>
      </c>
      <c r="HU3" s="28" t="str">
        <f t="shared" ca="1" si="3"/>
        <v>11/13/2025</v>
      </c>
      <c r="HV3" s="28" t="str">
        <f t="shared" ca="1" si="3"/>
        <v>11/14/2025</v>
      </c>
      <c r="HW3" s="28">
        <f t="shared" ca="1" si="3"/>
        <v>45978</v>
      </c>
      <c r="HX3" s="28" t="str">
        <f t="shared" ca="1" si="3"/>
        <v>11/18/2025</v>
      </c>
      <c r="HY3" s="28" t="str">
        <f t="shared" ca="1" si="3"/>
        <v>11/19/2025</v>
      </c>
      <c r="HZ3" s="28" t="str">
        <f t="shared" ca="1" si="3"/>
        <v>11/20/2025</v>
      </c>
      <c r="IA3" s="28" t="str">
        <f t="shared" ca="1" si="3"/>
        <v>11/21/2025</v>
      </c>
      <c r="IB3" s="28">
        <f t="shared" ca="1" si="3"/>
        <v>45985</v>
      </c>
      <c r="IC3" s="28" t="str">
        <f t="shared" ca="1" si="3"/>
        <v>11/25/2025</v>
      </c>
      <c r="ID3" s="28" t="str">
        <f t="shared" ca="1" si="3"/>
        <v>11/26/2025</v>
      </c>
      <c r="IE3" s="28" t="str">
        <f t="shared" ca="1" si="3"/>
        <v>11/27/2025</v>
      </c>
      <c r="IF3" s="28" t="str">
        <f t="shared" ca="1" si="3"/>
        <v>11/28/2025</v>
      </c>
      <c r="IG3" s="28">
        <f t="shared" ca="1" si="3"/>
        <v>45992</v>
      </c>
      <c r="IH3" s="28" t="str">
        <f t="shared" ca="1" si="3"/>
        <v>12/2/2025</v>
      </c>
      <c r="II3" s="28" t="str">
        <f t="shared" ca="1" si="3"/>
        <v>12/3/2025</v>
      </c>
      <c r="IJ3" s="28" t="str">
        <f t="shared" ca="1" si="3"/>
        <v>12/4/2025</v>
      </c>
      <c r="IK3" s="28" t="str">
        <f t="shared" ca="1" si="3"/>
        <v>12/5/2025</v>
      </c>
      <c r="IL3" s="28">
        <f t="shared" ca="1" si="3"/>
        <v>45999</v>
      </c>
      <c r="IM3" s="28" t="str">
        <f t="shared" ca="1" si="3"/>
        <v>12/9/2025</v>
      </c>
      <c r="IN3" s="28" t="str">
        <f t="shared" ca="1" si="3"/>
        <v>12/10/2025</v>
      </c>
      <c r="IO3" s="28" t="str">
        <f t="shared" ca="1" si="3"/>
        <v>12/11/2025</v>
      </c>
      <c r="IP3" s="28" t="str">
        <f t="shared" ca="1" si="3"/>
        <v>12/12/2025</v>
      </c>
      <c r="IQ3" s="28">
        <f t="shared" ca="1" si="3"/>
        <v>46006</v>
      </c>
      <c r="IR3" s="28" t="str">
        <f t="shared" ca="1" si="3"/>
        <v>12/16/2025</v>
      </c>
      <c r="IS3" s="28" t="str">
        <f t="shared" ca="1" si="3"/>
        <v>12/17/2025</v>
      </c>
      <c r="IT3" s="28" t="str">
        <f t="shared" ca="1" si="3"/>
        <v>12/18/2025</v>
      </c>
      <c r="IU3" s="28" t="str">
        <f t="shared" ca="1" si="3"/>
        <v>12/19/2025</v>
      </c>
      <c r="IV3" s="28">
        <f t="shared" ca="1" si="3"/>
        <v>46013</v>
      </c>
      <c r="IW3" s="28" t="str">
        <f t="shared" ca="1" si="3"/>
        <v>12/23/2025</v>
      </c>
      <c r="IX3" s="28" t="str">
        <f t="shared" ca="1" si="3"/>
        <v>12/24/2025</v>
      </c>
      <c r="IY3" s="28" t="str">
        <f t="shared" ca="1" si="3"/>
        <v>12/25/2025</v>
      </c>
      <c r="IZ3" s="28" t="str">
        <f t="shared" ca="1" si="3"/>
        <v>12/26/2025</v>
      </c>
      <c r="JA3" s="28">
        <f t="shared" ca="1" si="3"/>
        <v>46020</v>
      </c>
      <c r="JB3" s="28" t="str">
        <f t="shared" ca="1" si="3"/>
        <v>12/30/2025</v>
      </c>
      <c r="JC3" s="28" t="str">
        <f t="shared" ca="1" si="3"/>
        <v>12/31/2025</v>
      </c>
    </row>
    <row r="4" spans="2:263" ht="17" thickBot="1" x14ac:dyDescent="0.25">
      <c r="B4" s="21">
        <v>0.375</v>
      </c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  <c r="CO4" s="27"/>
      <c r="CP4" s="27"/>
      <c r="CQ4" s="27"/>
      <c r="CR4" s="27"/>
      <c r="CS4" s="27"/>
      <c r="CT4" s="27"/>
      <c r="CU4" s="27"/>
      <c r="CV4" s="27"/>
      <c r="CW4" s="27"/>
      <c r="CX4" s="27"/>
      <c r="CY4" s="27"/>
      <c r="CZ4" s="27"/>
      <c r="DA4" s="27"/>
      <c r="DB4" s="27"/>
      <c r="DC4" s="27"/>
      <c r="DD4" s="27"/>
      <c r="DE4" s="27"/>
      <c r="DF4" s="27"/>
      <c r="DG4" s="27"/>
      <c r="DH4" s="27"/>
      <c r="DI4" s="27"/>
      <c r="DJ4" s="27"/>
      <c r="DK4" s="27"/>
      <c r="DL4" s="27"/>
      <c r="DM4" s="27"/>
      <c r="DN4" s="27"/>
      <c r="DO4" s="27"/>
      <c r="DP4" s="27"/>
      <c r="DQ4" s="27"/>
      <c r="DR4" s="27"/>
      <c r="DS4" s="27"/>
      <c r="DT4" s="27"/>
      <c r="DU4" s="27"/>
      <c r="DV4" s="27"/>
      <c r="DW4" s="27"/>
      <c r="DX4" s="27"/>
      <c r="DY4" s="27"/>
      <c r="DZ4" s="27"/>
      <c r="EA4" s="27"/>
      <c r="EB4" s="27"/>
      <c r="EC4" s="27"/>
      <c r="ED4" s="27"/>
      <c r="EE4" s="27"/>
      <c r="EF4" s="27"/>
      <c r="EG4" s="27"/>
      <c r="EH4" s="27"/>
      <c r="EI4" s="27"/>
      <c r="EJ4" s="27"/>
      <c r="EK4" s="27"/>
      <c r="EL4" s="27"/>
      <c r="EM4" s="27"/>
      <c r="EN4" s="27"/>
      <c r="EO4" s="27"/>
      <c r="EP4" s="27"/>
      <c r="EQ4" s="27"/>
      <c r="ER4" s="27"/>
      <c r="ES4" s="27"/>
      <c r="ET4" s="27"/>
      <c r="EU4" s="27"/>
      <c r="EV4" s="27"/>
      <c r="EW4" s="27"/>
      <c r="EX4" s="27"/>
      <c r="EY4" s="27"/>
      <c r="EZ4" s="27"/>
      <c r="FA4" s="27"/>
      <c r="FB4" s="27"/>
      <c r="FC4" s="27"/>
      <c r="FD4" s="27"/>
      <c r="FE4" s="27"/>
      <c r="FF4" s="27"/>
      <c r="FG4" s="27"/>
      <c r="FH4" s="27"/>
      <c r="FI4" s="27"/>
      <c r="FJ4" s="27"/>
      <c r="FK4" s="27"/>
      <c r="FL4" s="27"/>
      <c r="FM4" s="27"/>
      <c r="FN4" s="27"/>
      <c r="FO4" s="27"/>
      <c r="FP4" s="27"/>
      <c r="FQ4" s="27"/>
      <c r="FR4" s="27"/>
      <c r="FS4" s="27"/>
      <c r="FT4" s="27"/>
      <c r="FU4" s="27"/>
      <c r="FV4" s="27"/>
      <c r="FW4" s="27"/>
      <c r="FX4" s="27"/>
      <c r="FY4" s="27"/>
      <c r="FZ4" s="27"/>
      <c r="GA4" s="27"/>
      <c r="GB4" s="27"/>
      <c r="GC4" s="27"/>
      <c r="GD4" s="27"/>
      <c r="GE4" s="27"/>
      <c r="GF4" s="27"/>
      <c r="GG4" s="27"/>
      <c r="GH4" s="27"/>
      <c r="GI4" s="27"/>
      <c r="GJ4" s="27"/>
      <c r="GK4" s="27"/>
      <c r="GL4" s="27"/>
      <c r="GM4" s="27"/>
      <c r="GN4" s="27"/>
      <c r="GO4" s="27"/>
      <c r="GP4" s="27"/>
      <c r="GQ4" s="27"/>
      <c r="GR4" s="27"/>
      <c r="GS4" s="27"/>
      <c r="GT4" s="27"/>
      <c r="GU4" s="27"/>
      <c r="GV4" s="27"/>
      <c r="GW4" s="27"/>
      <c r="GX4" s="27"/>
      <c r="GY4" s="27"/>
      <c r="GZ4" s="27"/>
      <c r="HA4" s="27"/>
      <c r="HB4" s="27"/>
      <c r="HC4" s="27"/>
      <c r="HD4" s="27"/>
      <c r="HE4" s="27"/>
      <c r="HF4" s="27"/>
      <c r="HG4" s="27"/>
      <c r="HH4" s="27"/>
      <c r="HI4" s="27"/>
      <c r="HJ4" s="27"/>
      <c r="HK4" s="27"/>
      <c r="HL4" s="27"/>
      <c r="HM4" s="27"/>
      <c r="HN4" s="27"/>
      <c r="HO4" s="27"/>
      <c r="HP4" s="27"/>
      <c r="HQ4" s="27"/>
      <c r="HR4" s="27"/>
      <c r="HS4" s="27"/>
      <c r="HT4" s="27"/>
      <c r="HU4" s="27"/>
      <c r="HV4" s="27"/>
      <c r="HW4" s="27"/>
      <c r="HX4" s="27"/>
      <c r="HY4" s="27"/>
      <c r="HZ4" s="27"/>
      <c r="IA4" s="27"/>
      <c r="IB4" s="27"/>
      <c r="IC4" s="27"/>
      <c r="ID4" s="27"/>
      <c r="IE4" s="27"/>
      <c r="IF4" s="27"/>
      <c r="IG4" s="27"/>
      <c r="IH4" s="27"/>
      <c r="II4" s="27"/>
      <c r="IJ4" s="27"/>
      <c r="IK4" s="27"/>
      <c r="IL4" s="27"/>
      <c r="IM4" s="27"/>
      <c r="IN4" s="27"/>
      <c r="IO4" s="27"/>
      <c r="IP4" s="27"/>
      <c r="IQ4" s="27"/>
      <c r="IR4" s="27"/>
      <c r="IS4" s="27"/>
      <c r="IT4" s="27"/>
      <c r="IU4" s="27"/>
      <c r="IV4" s="27"/>
      <c r="IW4" s="27"/>
      <c r="IX4" s="27"/>
      <c r="IY4" s="27"/>
      <c r="IZ4" s="27"/>
      <c r="JA4" s="27"/>
      <c r="JB4" s="27"/>
      <c r="JC4" s="26"/>
    </row>
    <row r="5" spans="2:263" ht="17" thickBot="1" x14ac:dyDescent="0.25">
      <c r="B5" s="21">
        <v>0.41666666666666669</v>
      </c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  <c r="EQ5" s="23"/>
      <c r="ER5" s="23"/>
      <c r="ES5" s="23"/>
      <c r="ET5" s="23"/>
      <c r="EU5" s="23"/>
      <c r="EV5" s="23"/>
      <c r="EW5" s="23"/>
      <c r="EX5" s="23"/>
      <c r="EY5" s="23"/>
      <c r="EZ5" s="23"/>
      <c r="FA5" s="23"/>
      <c r="FB5" s="23"/>
      <c r="FC5" s="23"/>
      <c r="FD5" s="23"/>
      <c r="FE5" s="23"/>
      <c r="FF5" s="23"/>
      <c r="FG5" s="23"/>
      <c r="FH5" s="23"/>
      <c r="FI5" s="23"/>
      <c r="FJ5" s="23"/>
      <c r="FK5" s="23"/>
      <c r="FL5" s="23"/>
      <c r="FM5" s="23"/>
      <c r="FN5" s="23"/>
      <c r="FO5" s="23"/>
      <c r="FP5" s="23"/>
      <c r="FQ5" s="23"/>
      <c r="FR5" s="23"/>
      <c r="FS5" s="23"/>
      <c r="FT5" s="23"/>
      <c r="FU5" s="23"/>
      <c r="FV5" s="23"/>
      <c r="FW5" s="23"/>
      <c r="FX5" s="23"/>
      <c r="FY5" s="23"/>
      <c r="FZ5" s="23"/>
      <c r="GA5" s="23"/>
      <c r="GB5" s="23"/>
      <c r="GC5" s="23"/>
      <c r="GD5" s="23"/>
      <c r="GE5" s="23"/>
      <c r="GF5" s="23"/>
      <c r="GG5" s="23"/>
      <c r="GH5" s="23"/>
      <c r="GI5" s="23"/>
      <c r="GJ5" s="23"/>
      <c r="GK5" s="23"/>
      <c r="GL5" s="23"/>
      <c r="GM5" s="23"/>
      <c r="GN5" s="23"/>
      <c r="GO5" s="23"/>
      <c r="GP5" s="23"/>
      <c r="GQ5" s="23"/>
      <c r="GR5" s="23"/>
      <c r="GS5" s="23"/>
      <c r="GT5" s="23"/>
      <c r="GU5" s="23"/>
      <c r="GV5" s="23"/>
      <c r="GW5" s="23"/>
      <c r="GX5" s="23"/>
      <c r="GY5" s="23"/>
      <c r="GZ5" s="23"/>
      <c r="HA5" s="23"/>
      <c r="HB5" s="23"/>
      <c r="HC5" s="23"/>
      <c r="HD5" s="23"/>
      <c r="HE5" s="23"/>
      <c r="HF5" s="23"/>
      <c r="HG5" s="23"/>
      <c r="HH5" s="23"/>
      <c r="HI5" s="23"/>
      <c r="HJ5" s="23"/>
      <c r="HK5" s="23"/>
      <c r="HL5" s="23"/>
      <c r="HM5" s="23"/>
      <c r="HN5" s="23"/>
      <c r="HO5" s="23"/>
      <c r="HP5" s="23"/>
      <c r="HQ5" s="23"/>
      <c r="HR5" s="23"/>
      <c r="HS5" s="23"/>
      <c r="HT5" s="23"/>
      <c r="HU5" s="23"/>
      <c r="HV5" s="23"/>
      <c r="HW5" s="23"/>
      <c r="HX5" s="23"/>
      <c r="HY5" s="23"/>
      <c r="HZ5" s="23"/>
      <c r="IA5" s="23"/>
      <c r="IB5" s="23"/>
      <c r="IC5" s="23"/>
      <c r="ID5" s="23"/>
      <c r="IE5" s="23"/>
      <c r="IF5" s="23"/>
      <c r="IG5" s="23"/>
      <c r="IH5" s="23"/>
      <c r="II5" s="23"/>
      <c r="IJ5" s="23"/>
      <c r="IK5" s="23"/>
      <c r="IL5" s="23"/>
      <c r="IM5" s="23"/>
      <c r="IN5" s="23"/>
      <c r="IO5" s="23"/>
      <c r="IP5" s="23"/>
      <c r="IQ5" s="23"/>
      <c r="IR5" s="23"/>
      <c r="IS5" s="23"/>
      <c r="IT5" s="23"/>
      <c r="IU5" s="23"/>
      <c r="IV5" s="23"/>
      <c r="IW5" s="23"/>
      <c r="IX5" s="23"/>
      <c r="IY5" s="23"/>
      <c r="IZ5" s="23"/>
      <c r="JA5" s="23"/>
      <c r="JB5" s="23"/>
      <c r="JC5" s="22"/>
    </row>
    <row r="6" spans="2:263" ht="17" thickBot="1" x14ac:dyDescent="0.25">
      <c r="B6" s="21">
        <v>0.45833333333333331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25"/>
      <c r="EV6" s="25"/>
      <c r="EW6" s="25"/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25"/>
      <c r="FL6" s="25"/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25"/>
      <c r="GO6" s="25"/>
      <c r="GP6" s="25"/>
      <c r="GQ6" s="25"/>
      <c r="GR6" s="25"/>
      <c r="GS6" s="25"/>
      <c r="GT6" s="25"/>
      <c r="GU6" s="25"/>
      <c r="GV6" s="25"/>
      <c r="GW6" s="25"/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4"/>
    </row>
    <row r="7" spans="2:263" ht="17" thickBot="1" x14ac:dyDescent="0.25">
      <c r="B7" s="21">
        <v>0.5</v>
      </c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3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3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3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3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3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3"/>
      <c r="ED7" s="23"/>
      <c r="EE7" s="23"/>
      <c r="EF7" s="23"/>
      <c r="EG7" s="23"/>
      <c r="EH7" s="23"/>
      <c r="EI7" s="23"/>
      <c r="EJ7" s="23"/>
      <c r="EK7" s="23"/>
      <c r="EL7" s="23"/>
      <c r="EM7" s="23"/>
      <c r="EN7" s="23"/>
      <c r="EO7" s="23"/>
      <c r="EP7" s="23"/>
      <c r="EQ7" s="23"/>
      <c r="ER7" s="23"/>
      <c r="ES7" s="23"/>
      <c r="ET7" s="23"/>
      <c r="EU7" s="23"/>
      <c r="EV7" s="23"/>
      <c r="EW7" s="23"/>
      <c r="EX7" s="23"/>
      <c r="EY7" s="23"/>
      <c r="EZ7" s="23"/>
      <c r="FA7" s="23"/>
      <c r="FB7" s="23"/>
      <c r="FC7" s="23"/>
      <c r="FD7" s="23"/>
      <c r="FE7" s="23"/>
      <c r="FF7" s="23"/>
      <c r="FG7" s="23"/>
      <c r="FH7" s="23"/>
      <c r="FI7" s="23"/>
      <c r="FJ7" s="23"/>
      <c r="FK7" s="23"/>
      <c r="FL7" s="23"/>
      <c r="FM7" s="23"/>
      <c r="FN7" s="23"/>
      <c r="FO7" s="23"/>
      <c r="FP7" s="23"/>
      <c r="FQ7" s="23"/>
      <c r="FR7" s="23"/>
      <c r="FS7" s="23"/>
      <c r="FT7" s="23"/>
      <c r="FU7" s="23"/>
      <c r="FV7" s="23"/>
      <c r="FW7" s="23"/>
      <c r="FX7" s="23"/>
      <c r="FY7" s="23"/>
      <c r="FZ7" s="23"/>
      <c r="GA7" s="23"/>
      <c r="GB7" s="23"/>
      <c r="GC7" s="23"/>
      <c r="GD7" s="23"/>
      <c r="GE7" s="23"/>
      <c r="GF7" s="23"/>
      <c r="GG7" s="23"/>
      <c r="GH7" s="23"/>
      <c r="GI7" s="23"/>
      <c r="GJ7" s="23"/>
      <c r="GK7" s="23"/>
      <c r="GL7" s="23"/>
      <c r="GM7" s="23"/>
      <c r="GN7" s="23"/>
      <c r="GO7" s="23"/>
      <c r="GP7" s="23"/>
      <c r="GQ7" s="23"/>
      <c r="GR7" s="23"/>
      <c r="GS7" s="23"/>
      <c r="GT7" s="23"/>
      <c r="GU7" s="23"/>
      <c r="GV7" s="23"/>
      <c r="GW7" s="23"/>
      <c r="GX7" s="23"/>
      <c r="GY7" s="23"/>
      <c r="GZ7" s="23"/>
      <c r="HA7" s="23"/>
      <c r="HB7" s="23"/>
      <c r="HC7" s="23"/>
      <c r="HD7" s="23"/>
      <c r="HE7" s="23"/>
      <c r="HF7" s="23"/>
      <c r="HG7" s="23"/>
      <c r="HH7" s="23"/>
      <c r="HI7" s="23"/>
      <c r="HJ7" s="23"/>
      <c r="HK7" s="23"/>
      <c r="HL7" s="23"/>
      <c r="HM7" s="23"/>
      <c r="HN7" s="23"/>
      <c r="HO7" s="23"/>
      <c r="HP7" s="23"/>
      <c r="HQ7" s="23"/>
      <c r="HR7" s="23"/>
      <c r="HS7" s="23"/>
      <c r="HT7" s="23"/>
      <c r="HU7" s="23"/>
      <c r="HV7" s="23"/>
      <c r="HW7" s="23"/>
      <c r="HX7" s="23"/>
      <c r="HY7" s="23"/>
      <c r="HZ7" s="23"/>
      <c r="IA7" s="23"/>
      <c r="IB7" s="23"/>
      <c r="IC7" s="23"/>
      <c r="ID7" s="23"/>
      <c r="IE7" s="23"/>
      <c r="IF7" s="23"/>
      <c r="IG7" s="23"/>
      <c r="IH7" s="23"/>
      <c r="II7" s="23"/>
      <c r="IJ7" s="23"/>
      <c r="IK7" s="23"/>
      <c r="IL7" s="23"/>
      <c r="IM7" s="23"/>
      <c r="IN7" s="23"/>
      <c r="IO7" s="23"/>
      <c r="IP7" s="23"/>
      <c r="IQ7" s="23"/>
      <c r="IR7" s="23"/>
      <c r="IS7" s="23"/>
      <c r="IT7" s="23"/>
      <c r="IU7" s="23"/>
      <c r="IV7" s="23"/>
      <c r="IW7" s="23"/>
      <c r="IX7" s="23"/>
      <c r="IY7" s="23"/>
      <c r="IZ7" s="23"/>
      <c r="JA7" s="23"/>
      <c r="JB7" s="23"/>
      <c r="JC7" s="22"/>
    </row>
    <row r="8" spans="2:263" ht="17" thickBot="1" x14ac:dyDescent="0.25">
      <c r="B8" s="21">
        <v>0.54166666666666663</v>
      </c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3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3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3"/>
      <c r="ED8" s="23"/>
      <c r="EE8" s="23"/>
      <c r="EF8" s="23"/>
      <c r="EG8" s="23"/>
      <c r="EH8" s="23"/>
      <c r="EI8" s="23"/>
      <c r="EJ8" s="23"/>
      <c r="EK8" s="23"/>
      <c r="EL8" s="23"/>
      <c r="EM8" s="23"/>
      <c r="EN8" s="23"/>
      <c r="EO8" s="23"/>
      <c r="EP8" s="23"/>
      <c r="EQ8" s="23"/>
      <c r="ER8" s="23"/>
      <c r="ES8" s="23"/>
      <c r="ET8" s="23"/>
      <c r="EU8" s="23"/>
      <c r="EV8" s="23"/>
      <c r="EW8" s="23"/>
      <c r="EX8" s="23"/>
      <c r="EY8" s="23"/>
      <c r="EZ8" s="23"/>
      <c r="FA8" s="23"/>
      <c r="FB8" s="23"/>
      <c r="FC8" s="23"/>
      <c r="FD8" s="23"/>
      <c r="FE8" s="23"/>
      <c r="FF8" s="23"/>
      <c r="FG8" s="23"/>
      <c r="FH8" s="23"/>
      <c r="FI8" s="23"/>
      <c r="FJ8" s="23"/>
      <c r="FK8" s="23"/>
      <c r="FL8" s="23"/>
      <c r="FM8" s="23"/>
      <c r="FN8" s="23"/>
      <c r="FO8" s="23"/>
      <c r="FP8" s="23"/>
      <c r="FQ8" s="23"/>
      <c r="FR8" s="23"/>
      <c r="FS8" s="23"/>
      <c r="FT8" s="23"/>
      <c r="FU8" s="23"/>
      <c r="FV8" s="23"/>
      <c r="FW8" s="23"/>
      <c r="FX8" s="23"/>
      <c r="FY8" s="23"/>
      <c r="FZ8" s="23"/>
      <c r="GA8" s="23"/>
      <c r="GB8" s="23"/>
      <c r="GC8" s="23"/>
      <c r="GD8" s="23"/>
      <c r="GE8" s="23"/>
      <c r="GF8" s="23"/>
      <c r="GG8" s="23"/>
      <c r="GH8" s="23"/>
      <c r="GI8" s="23"/>
      <c r="GJ8" s="23"/>
      <c r="GK8" s="23"/>
      <c r="GL8" s="23"/>
      <c r="GM8" s="23"/>
      <c r="GN8" s="23"/>
      <c r="GO8" s="23"/>
      <c r="GP8" s="23"/>
      <c r="GQ8" s="23"/>
      <c r="GR8" s="23"/>
      <c r="GS8" s="23"/>
      <c r="GT8" s="23"/>
      <c r="GU8" s="23"/>
      <c r="GV8" s="23"/>
      <c r="GW8" s="23"/>
      <c r="GX8" s="23"/>
      <c r="GY8" s="23"/>
      <c r="GZ8" s="23"/>
      <c r="HA8" s="23"/>
      <c r="HB8" s="23"/>
      <c r="HC8" s="23"/>
      <c r="HD8" s="23"/>
      <c r="HE8" s="23"/>
      <c r="HF8" s="23"/>
      <c r="HG8" s="23"/>
      <c r="HH8" s="23"/>
      <c r="HI8" s="23"/>
      <c r="HJ8" s="23"/>
      <c r="HK8" s="23"/>
      <c r="HL8" s="23"/>
      <c r="HM8" s="23"/>
      <c r="HN8" s="23"/>
      <c r="HO8" s="23"/>
      <c r="HP8" s="23"/>
      <c r="HQ8" s="23"/>
      <c r="HR8" s="23"/>
      <c r="HS8" s="23"/>
      <c r="HT8" s="23"/>
      <c r="HU8" s="23"/>
      <c r="HV8" s="23"/>
      <c r="HW8" s="23"/>
      <c r="HX8" s="23"/>
      <c r="HY8" s="23"/>
      <c r="HZ8" s="23"/>
      <c r="IA8" s="23"/>
      <c r="IB8" s="23"/>
      <c r="IC8" s="23"/>
      <c r="ID8" s="23"/>
      <c r="IE8" s="23"/>
      <c r="IF8" s="23"/>
      <c r="IG8" s="23"/>
      <c r="IH8" s="23"/>
      <c r="II8" s="23"/>
      <c r="IJ8" s="23"/>
      <c r="IK8" s="23"/>
      <c r="IL8" s="23"/>
      <c r="IM8" s="23"/>
      <c r="IN8" s="23"/>
      <c r="IO8" s="23"/>
      <c r="IP8" s="23"/>
      <c r="IQ8" s="23"/>
      <c r="IR8" s="23"/>
      <c r="IS8" s="23"/>
      <c r="IT8" s="23"/>
      <c r="IU8" s="23"/>
      <c r="IV8" s="23"/>
      <c r="IW8" s="23"/>
      <c r="IX8" s="23"/>
      <c r="IY8" s="23"/>
      <c r="IZ8" s="23"/>
      <c r="JA8" s="23"/>
      <c r="JB8" s="23"/>
      <c r="JC8" s="22"/>
    </row>
    <row r="9" spans="2:263" ht="17" thickBot="1" x14ac:dyDescent="0.25">
      <c r="B9" s="21">
        <v>0.58333333333333337</v>
      </c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3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3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3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3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3"/>
      <c r="ED9" s="23"/>
      <c r="EE9" s="23"/>
      <c r="EF9" s="23"/>
      <c r="EG9" s="23"/>
      <c r="EH9" s="23"/>
      <c r="EI9" s="23"/>
      <c r="EJ9" s="23"/>
      <c r="EK9" s="23"/>
      <c r="EL9" s="23"/>
      <c r="EM9" s="23"/>
      <c r="EN9" s="23"/>
      <c r="EO9" s="23"/>
      <c r="EP9" s="23"/>
      <c r="EQ9" s="23"/>
      <c r="ER9" s="23"/>
      <c r="ES9" s="23"/>
      <c r="ET9" s="23"/>
      <c r="EU9" s="23"/>
      <c r="EV9" s="23"/>
      <c r="EW9" s="23"/>
      <c r="EX9" s="23"/>
      <c r="EY9" s="23"/>
      <c r="EZ9" s="23"/>
      <c r="FA9" s="23"/>
      <c r="FB9" s="23"/>
      <c r="FC9" s="23"/>
      <c r="FD9" s="23"/>
      <c r="FE9" s="23"/>
      <c r="FF9" s="23"/>
      <c r="FG9" s="23"/>
      <c r="FH9" s="23"/>
      <c r="FI9" s="23"/>
      <c r="FJ9" s="23"/>
      <c r="FK9" s="23"/>
      <c r="FL9" s="23"/>
      <c r="FM9" s="23"/>
      <c r="FN9" s="23"/>
      <c r="FO9" s="23"/>
      <c r="FP9" s="23"/>
      <c r="FQ9" s="23"/>
      <c r="FR9" s="23"/>
      <c r="FS9" s="23"/>
      <c r="FT9" s="23"/>
      <c r="FU9" s="23"/>
      <c r="FV9" s="23"/>
      <c r="FW9" s="23"/>
      <c r="FX9" s="23"/>
      <c r="FY9" s="23"/>
      <c r="FZ9" s="23"/>
      <c r="GA9" s="23"/>
      <c r="GB9" s="23"/>
      <c r="GC9" s="23"/>
      <c r="GD9" s="23"/>
      <c r="GE9" s="23"/>
      <c r="GF9" s="23"/>
      <c r="GG9" s="23"/>
      <c r="GH9" s="23"/>
      <c r="GI9" s="23"/>
      <c r="GJ9" s="23"/>
      <c r="GK9" s="23"/>
      <c r="GL9" s="23"/>
      <c r="GM9" s="23"/>
      <c r="GN9" s="23"/>
      <c r="GO9" s="23"/>
      <c r="GP9" s="23"/>
      <c r="GQ9" s="23"/>
      <c r="GR9" s="23"/>
      <c r="GS9" s="23"/>
      <c r="GT9" s="23"/>
      <c r="GU9" s="23"/>
      <c r="GV9" s="23"/>
      <c r="GW9" s="23"/>
      <c r="GX9" s="23"/>
      <c r="GY9" s="23"/>
      <c r="GZ9" s="23"/>
      <c r="HA9" s="23"/>
      <c r="HB9" s="23"/>
      <c r="HC9" s="23"/>
      <c r="HD9" s="23"/>
      <c r="HE9" s="23"/>
      <c r="HF9" s="23"/>
      <c r="HG9" s="23"/>
      <c r="HH9" s="23"/>
      <c r="HI9" s="23"/>
      <c r="HJ9" s="23"/>
      <c r="HK9" s="23"/>
      <c r="HL9" s="23"/>
      <c r="HM9" s="23"/>
      <c r="HN9" s="23"/>
      <c r="HO9" s="23"/>
      <c r="HP9" s="23"/>
      <c r="HQ9" s="23"/>
      <c r="HR9" s="23"/>
      <c r="HS9" s="23"/>
      <c r="HT9" s="23"/>
      <c r="HU9" s="23"/>
      <c r="HV9" s="23"/>
      <c r="HW9" s="23"/>
      <c r="HX9" s="23"/>
      <c r="HY9" s="23"/>
      <c r="HZ9" s="23"/>
      <c r="IA9" s="23"/>
      <c r="IB9" s="23"/>
      <c r="IC9" s="23"/>
      <c r="ID9" s="23"/>
      <c r="IE9" s="23"/>
      <c r="IF9" s="23"/>
      <c r="IG9" s="23"/>
      <c r="IH9" s="23"/>
      <c r="II9" s="23"/>
      <c r="IJ9" s="23"/>
      <c r="IK9" s="23"/>
      <c r="IL9" s="23"/>
      <c r="IM9" s="23"/>
      <c r="IN9" s="23"/>
      <c r="IO9" s="23"/>
      <c r="IP9" s="23"/>
      <c r="IQ9" s="23"/>
      <c r="IR9" s="23"/>
      <c r="IS9" s="23"/>
      <c r="IT9" s="23"/>
      <c r="IU9" s="23"/>
      <c r="IV9" s="23"/>
      <c r="IW9" s="23"/>
      <c r="IX9" s="23"/>
      <c r="IY9" s="23"/>
      <c r="IZ9" s="23"/>
      <c r="JA9" s="23"/>
      <c r="JB9" s="23"/>
      <c r="JC9" s="22"/>
    </row>
    <row r="10" spans="2:263" ht="17" thickBot="1" x14ac:dyDescent="0.25">
      <c r="B10" s="21">
        <v>0.625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3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3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3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3"/>
      <c r="ED10" s="23"/>
      <c r="EE10" s="23"/>
      <c r="EF10" s="23"/>
      <c r="EG10" s="23"/>
      <c r="EH10" s="23"/>
      <c r="EI10" s="23"/>
      <c r="EJ10" s="23"/>
      <c r="EK10" s="23"/>
      <c r="EL10" s="23"/>
      <c r="EM10" s="23"/>
      <c r="EN10" s="23"/>
      <c r="EO10" s="23"/>
      <c r="EP10" s="23"/>
      <c r="EQ10" s="23"/>
      <c r="ER10" s="23"/>
      <c r="ES10" s="23"/>
      <c r="ET10" s="23"/>
      <c r="EU10" s="23"/>
      <c r="EV10" s="23"/>
      <c r="EW10" s="23"/>
      <c r="EX10" s="23"/>
      <c r="EY10" s="23"/>
      <c r="EZ10" s="23"/>
      <c r="FA10" s="23"/>
      <c r="FB10" s="23"/>
      <c r="FC10" s="23"/>
      <c r="FD10" s="23"/>
      <c r="FE10" s="23"/>
      <c r="FF10" s="23"/>
      <c r="FG10" s="23"/>
      <c r="FH10" s="23"/>
      <c r="FI10" s="23"/>
      <c r="FJ10" s="23"/>
      <c r="FK10" s="23"/>
      <c r="FL10" s="23"/>
      <c r="FM10" s="23"/>
      <c r="FN10" s="23"/>
      <c r="FO10" s="23"/>
      <c r="FP10" s="23"/>
      <c r="FQ10" s="23"/>
      <c r="FR10" s="23"/>
      <c r="FS10" s="23"/>
      <c r="FT10" s="23"/>
      <c r="FU10" s="23"/>
      <c r="FV10" s="23"/>
      <c r="FW10" s="23"/>
      <c r="FX10" s="23"/>
      <c r="FY10" s="23"/>
      <c r="FZ10" s="23"/>
      <c r="GA10" s="23"/>
      <c r="GB10" s="23"/>
      <c r="GC10" s="23"/>
      <c r="GD10" s="23"/>
      <c r="GE10" s="23"/>
      <c r="GF10" s="23"/>
      <c r="GG10" s="23"/>
      <c r="GH10" s="23"/>
      <c r="GI10" s="23"/>
      <c r="GJ10" s="23"/>
      <c r="GK10" s="23"/>
      <c r="GL10" s="23"/>
      <c r="GM10" s="23"/>
      <c r="GN10" s="23"/>
      <c r="GO10" s="23"/>
      <c r="GP10" s="23"/>
      <c r="GQ10" s="23"/>
      <c r="GR10" s="23"/>
      <c r="GS10" s="23"/>
      <c r="GT10" s="23"/>
      <c r="GU10" s="23"/>
      <c r="GV10" s="23"/>
      <c r="GW10" s="23"/>
      <c r="GX10" s="23"/>
      <c r="GY10" s="23"/>
      <c r="GZ10" s="23"/>
      <c r="HA10" s="23"/>
      <c r="HB10" s="23"/>
      <c r="HC10" s="23"/>
      <c r="HD10" s="23"/>
      <c r="HE10" s="23"/>
      <c r="HF10" s="23"/>
      <c r="HG10" s="23"/>
      <c r="HH10" s="23"/>
      <c r="HI10" s="23"/>
      <c r="HJ10" s="23"/>
      <c r="HK10" s="23"/>
      <c r="HL10" s="23"/>
      <c r="HM10" s="23"/>
      <c r="HN10" s="23"/>
      <c r="HO10" s="23"/>
      <c r="HP10" s="23"/>
      <c r="HQ10" s="23"/>
      <c r="HR10" s="23"/>
      <c r="HS10" s="23"/>
      <c r="HT10" s="23"/>
      <c r="HU10" s="23"/>
      <c r="HV10" s="23"/>
      <c r="HW10" s="23"/>
      <c r="HX10" s="23"/>
      <c r="HY10" s="23"/>
      <c r="HZ10" s="23"/>
      <c r="IA10" s="23"/>
      <c r="IB10" s="23"/>
      <c r="IC10" s="23"/>
      <c r="ID10" s="23"/>
      <c r="IE10" s="23"/>
      <c r="IF10" s="23"/>
      <c r="IG10" s="23"/>
      <c r="IH10" s="23"/>
      <c r="II10" s="23"/>
      <c r="IJ10" s="23"/>
      <c r="IK10" s="23"/>
      <c r="IL10" s="23"/>
      <c r="IM10" s="23"/>
      <c r="IN10" s="23"/>
      <c r="IO10" s="23"/>
      <c r="IP10" s="23"/>
      <c r="IQ10" s="23"/>
      <c r="IR10" s="23"/>
      <c r="IS10" s="23"/>
      <c r="IT10" s="23"/>
      <c r="IU10" s="23"/>
      <c r="IV10" s="23"/>
      <c r="IW10" s="23"/>
      <c r="IX10" s="23"/>
      <c r="IY10" s="23"/>
      <c r="IZ10" s="23"/>
      <c r="JA10" s="23"/>
      <c r="JB10" s="23"/>
      <c r="JC10" s="22"/>
    </row>
    <row r="11" spans="2:263" ht="17" thickBot="1" x14ac:dyDescent="0.25">
      <c r="B11" s="21">
        <v>0.66666666666666663</v>
      </c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3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3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3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3"/>
      <c r="ED11" s="23"/>
      <c r="EE11" s="23"/>
      <c r="EF11" s="23"/>
      <c r="EG11" s="23"/>
      <c r="EH11" s="23"/>
      <c r="EI11" s="23"/>
      <c r="EJ11" s="23"/>
      <c r="EK11" s="23"/>
      <c r="EL11" s="23"/>
      <c r="EM11" s="23"/>
      <c r="EN11" s="23"/>
      <c r="EO11" s="23"/>
      <c r="EP11" s="23"/>
      <c r="EQ11" s="23"/>
      <c r="ER11" s="23"/>
      <c r="ES11" s="23"/>
      <c r="ET11" s="23"/>
      <c r="EU11" s="23"/>
      <c r="EV11" s="23"/>
      <c r="EW11" s="23"/>
      <c r="EX11" s="23"/>
      <c r="EY11" s="23"/>
      <c r="EZ11" s="23"/>
      <c r="FA11" s="23"/>
      <c r="FB11" s="23"/>
      <c r="FC11" s="23"/>
      <c r="FD11" s="23"/>
      <c r="FE11" s="23"/>
      <c r="FF11" s="23"/>
      <c r="FG11" s="23"/>
      <c r="FH11" s="23"/>
      <c r="FI11" s="23"/>
      <c r="FJ11" s="23"/>
      <c r="FK11" s="23"/>
      <c r="FL11" s="23"/>
      <c r="FM11" s="23"/>
      <c r="FN11" s="23"/>
      <c r="FO11" s="23"/>
      <c r="FP11" s="23"/>
      <c r="FQ11" s="23"/>
      <c r="FR11" s="23"/>
      <c r="FS11" s="23"/>
      <c r="FT11" s="23"/>
      <c r="FU11" s="23"/>
      <c r="FV11" s="23"/>
      <c r="FW11" s="23"/>
      <c r="FX11" s="23"/>
      <c r="FY11" s="23"/>
      <c r="FZ11" s="23"/>
      <c r="GA11" s="23"/>
      <c r="GB11" s="23"/>
      <c r="GC11" s="23"/>
      <c r="GD11" s="23"/>
      <c r="GE11" s="23"/>
      <c r="GF11" s="23"/>
      <c r="GG11" s="23"/>
      <c r="GH11" s="23"/>
      <c r="GI11" s="23"/>
      <c r="GJ11" s="23"/>
      <c r="GK11" s="23"/>
      <c r="GL11" s="23"/>
      <c r="GM11" s="23"/>
      <c r="GN11" s="23"/>
      <c r="GO11" s="23"/>
      <c r="GP11" s="23"/>
      <c r="GQ11" s="23"/>
      <c r="GR11" s="23"/>
      <c r="GS11" s="23"/>
      <c r="GT11" s="23"/>
      <c r="GU11" s="23"/>
      <c r="GV11" s="23"/>
      <c r="GW11" s="23"/>
      <c r="GX11" s="23"/>
      <c r="GY11" s="23"/>
      <c r="GZ11" s="23"/>
      <c r="HA11" s="23"/>
      <c r="HB11" s="23"/>
      <c r="HC11" s="23"/>
      <c r="HD11" s="23"/>
      <c r="HE11" s="23"/>
      <c r="HF11" s="23"/>
      <c r="HG11" s="23"/>
      <c r="HH11" s="23"/>
      <c r="HI11" s="23"/>
      <c r="HJ11" s="23"/>
      <c r="HK11" s="23"/>
      <c r="HL11" s="23"/>
      <c r="HM11" s="23"/>
      <c r="HN11" s="23"/>
      <c r="HO11" s="23"/>
      <c r="HP11" s="23"/>
      <c r="HQ11" s="23"/>
      <c r="HR11" s="23"/>
      <c r="HS11" s="23"/>
      <c r="HT11" s="23"/>
      <c r="HU11" s="23"/>
      <c r="HV11" s="23"/>
      <c r="HW11" s="23"/>
      <c r="HX11" s="23"/>
      <c r="HY11" s="23"/>
      <c r="HZ11" s="23"/>
      <c r="IA11" s="23"/>
      <c r="IB11" s="23"/>
      <c r="IC11" s="23"/>
      <c r="ID11" s="23"/>
      <c r="IE11" s="23"/>
      <c r="IF11" s="23"/>
      <c r="IG11" s="23"/>
      <c r="IH11" s="23"/>
      <c r="II11" s="23"/>
      <c r="IJ11" s="23"/>
      <c r="IK11" s="23"/>
      <c r="IL11" s="23"/>
      <c r="IM11" s="23"/>
      <c r="IN11" s="23"/>
      <c r="IO11" s="23"/>
      <c r="IP11" s="23"/>
      <c r="IQ11" s="23"/>
      <c r="IR11" s="23"/>
      <c r="IS11" s="23"/>
      <c r="IT11" s="23"/>
      <c r="IU11" s="23"/>
      <c r="IV11" s="23"/>
      <c r="IW11" s="23"/>
      <c r="IX11" s="23"/>
      <c r="IY11" s="23"/>
      <c r="IZ11" s="23"/>
      <c r="JA11" s="23"/>
      <c r="JB11" s="23"/>
      <c r="JC11" s="22"/>
    </row>
    <row r="12" spans="2:263" ht="17" thickBot="1" x14ac:dyDescent="0.25">
      <c r="B12" s="21">
        <v>0.70833333333333337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  <c r="DR12" s="20"/>
      <c r="DS12" s="20"/>
      <c r="DT12" s="20"/>
      <c r="DU12" s="20"/>
      <c r="DV12" s="20"/>
      <c r="DW12" s="20"/>
      <c r="DX12" s="20"/>
      <c r="DY12" s="20"/>
      <c r="DZ12" s="20"/>
      <c r="EA12" s="20"/>
      <c r="EB12" s="20"/>
      <c r="EC12" s="20"/>
      <c r="ED12" s="20"/>
      <c r="EE12" s="20"/>
      <c r="EF12" s="20"/>
      <c r="EG12" s="20"/>
      <c r="EH12" s="20"/>
      <c r="EI12" s="20"/>
      <c r="EJ12" s="20"/>
      <c r="EK12" s="20"/>
      <c r="EL12" s="20"/>
      <c r="EM12" s="20"/>
      <c r="EN12" s="20"/>
      <c r="EO12" s="20"/>
      <c r="EP12" s="20"/>
      <c r="EQ12" s="20"/>
      <c r="ER12" s="20"/>
      <c r="ES12" s="20"/>
      <c r="ET12" s="20"/>
      <c r="EU12" s="20"/>
      <c r="EV12" s="20"/>
      <c r="EW12" s="20"/>
      <c r="EX12" s="20"/>
      <c r="EY12" s="20"/>
      <c r="EZ12" s="20"/>
      <c r="FA12" s="20"/>
      <c r="FB12" s="20"/>
      <c r="FC12" s="20"/>
      <c r="FD12" s="20"/>
      <c r="FE12" s="20"/>
      <c r="FF12" s="20"/>
      <c r="FG12" s="20"/>
      <c r="FH12" s="20"/>
      <c r="FI12" s="20"/>
      <c r="FJ12" s="20"/>
      <c r="FK12" s="20"/>
      <c r="FL12" s="20"/>
      <c r="FM12" s="20"/>
      <c r="FN12" s="20"/>
      <c r="FO12" s="20"/>
      <c r="FP12" s="20"/>
      <c r="FQ12" s="20"/>
      <c r="FR12" s="20"/>
      <c r="FS12" s="20"/>
      <c r="FT12" s="20"/>
      <c r="FU12" s="20"/>
      <c r="FV12" s="20"/>
      <c r="FW12" s="20"/>
      <c r="FX12" s="20"/>
      <c r="FY12" s="20"/>
      <c r="FZ12" s="20"/>
      <c r="GA12" s="20"/>
      <c r="GB12" s="20"/>
      <c r="GC12" s="20"/>
      <c r="GD12" s="20"/>
      <c r="GE12" s="20"/>
      <c r="GF12" s="20"/>
      <c r="GG12" s="20"/>
      <c r="GH12" s="20"/>
      <c r="GI12" s="20"/>
      <c r="GJ12" s="20"/>
      <c r="GK12" s="20"/>
      <c r="GL12" s="20"/>
      <c r="GM12" s="20"/>
      <c r="GN12" s="20"/>
      <c r="GO12" s="20"/>
      <c r="GP12" s="20"/>
      <c r="GQ12" s="20"/>
      <c r="GR12" s="20"/>
      <c r="GS12" s="20"/>
      <c r="GT12" s="20"/>
      <c r="GU12" s="20"/>
      <c r="GV12" s="20"/>
      <c r="GW12" s="20"/>
      <c r="GX12" s="20"/>
      <c r="GY12" s="20"/>
      <c r="GZ12" s="20"/>
      <c r="HA12" s="20"/>
      <c r="HB12" s="20"/>
      <c r="HC12" s="20"/>
      <c r="HD12" s="20"/>
      <c r="HE12" s="20"/>
      <c r="HF12" s="20"/>
      <c r="HG12" s="20"/>
      <c r="HH12" s="20"/>
      <c r="HI12" s="20"/>
      <c r="HJ12" s="20"/>
      <c r="HK12" s="20"/>
      <c r="HL12" s="20"/>
      <c r="HM12" s="20"/>
      <c r="HN12" s="20"/>
      <c r="HO12" s="20"/>
      <c r="HP12" s="20"/>
      <c r="HQ12" s="20"/>
      <c r="HR12" s="20"/>
      <c r="HS12" s="20"/>
      <c r="HT12" s="20"/>
      <c r="HU12" s="20"/>
      <c r="HV12" s="20"/>
      <c r="HW12" s="20"/>
      <c r="HX12" s="20"/>
      <c r="HY12" s="20"/>
      <c r="HZ12" s="20"/>
      <c r="IA12" s="20"/>
      <c r="IB12" s="20"/>
      <c r="IC12" s="20"/>
      <c r="ID12" s="20"/>
      <c r="IE12" s="20"/>
      <c r="IF12" s="20"/>
      <c r="IG12" s="20"/>
      <c r="IH12" s="20"/>
      <c r="II12" s="20"/>
      <c r="IJ12" s="20"/>
      <c r="IK12" s="20"/>
      <c r="IL12" s="20"/>
      <c r="IM12" s="20"/>
      <c r="IN12" s="20"/>
      <c r="IO12" s="20"/>
      <c r="IP12" s="20"/>
      <c r="IQ12" s="20"/>
      <c r="IR12" s="20"/>
      <c r="IS12" s="20"/>
      <c r="IT12" s="20"/>
      <c r="IU12" s="20"/>
      <c r="IV12" s="20"/>
      <c r="IW12" s="20"/>
      <c r="IX12" s="20"/>
      <c r="IY12" s="20"/>
      <c r="IZ12" s="20"/>
      <c r="JA12" s="20"/>
      <c r="JB12" s="20"/>
      <c r="JC12" s="1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94E3E-963A-5F43-987D-EDE64460D412}">
  <sheetPr codeName="Sheet8"/>
  <dimension ref="A1:AM50"/>
  <sheetViews>
    <sheetView zoomScale="64" workbookViewId="0">
      <selection activeCell="AJ28" sqref="AJ28"/>
    </sheetView>
  </sheetViews>
  <sheetFormatPr baseColWidth="10" defaultRowHeight="16" x14ac:dyDescent="0.2"/>
  <cols>
    <col min="1" max="1" width="17.1640625" bestFit="1" customWidth="1"/>
    <col min="6" max="6" width="16.83203125" bestFit="1" customWidth="1"/>
    <col min="7" max="7" width="15.6640625" bestFit="1" customWidth="1"/>
    <col min="9" max="9" width="15.33203125" bestFit="1" customWidth="1"/>
    <col min="17" max="17" width="15.33203125" bestFit="1" customWidth="1"/>
    <col min="20" max="20" width="12" bestFit="1" customWidth="1"/>
    <col min="21" max="21" width="15.33203125" bestFit="1" customWidth="1"/>
    <col min="26" max="26" width="12.1640625" bestFit="1" customWidth="1"/>
    <col min="28" max="28" width="17.83203125" bestFit="1" customWidth="1"/>
    <col min="29" max="29" width="25.1640625" bestFit="1" customWidth="1"/>
    <col min="36" max="36" width="20.33203125" bestFit="1" customWidth="1"/>
    <col min="37" max="37" width="16.33203125" bestFit="1" customWidth="1"/>
    <col min="38" max="38" width="19.33203125" bestFit="1" customWidth="1"/>
  </cols>
  <sheetData>
    <row r="1" spans="1:39" ht="17" thickBot="1" x14ac:dyDescent="0.25">
      <c r="A1" s="89" t="s">
        <v>67</v>
      </c>
      <c r="B1" s="121" t="s">
        <v>66</v>
      </c>
      <c r="C1" s="122"/>
      <c r="D1" s="122"/>
      <c r="E1" s="123"/>
      <c r="F1" s="38"/>
    </row>
    <row r="2" spans="1:39" ht="17" thickBot="1" x14ac:dyDescent="0.25">
      <c r="A2" s="45" t="s">
        <v>65</v>
      </c>
      <c r="B2" s="43" t="s">
        <v>44</v>
      </c>
      <c r="C2" cm="1">
        <f t="array" aca="1" ref="C2:C31" ca="1">_xlfn.SEQUENCE(DAY(EOMONTH(DATE(2025, MONTH(DATEVALUE("1-" &amp; 'Work Journal'!N15 &amp; "-2025")), 1), 0)), 1, 1, 1)</f>
        <v>1</v>
      </c>
      <c r="D2" cm="1">
        <f t="array" aca="1" ref="D2:D31" ca="1">_xlfn._xlws.FILTER(C2:C32,C2:C32&gt;0)</f>
        <v>1</v>
      </c>
      <c r="E2" cm="1">
        <f t="array" aca="1" ref="E2:E23" ca="1">DAY(_xlfn._xlws.FILTER(DATE(2025, MONTH(DATEVALUE("1-" &amp; 'Work Journal'!N15 &amp; "-2025")),_xlfn.ANCHORARRAY( D2)),(TEXT(DATE(2025, MONTH(DATEVALUE("1-" &amp; 'Work Journal'!N15 &amp; "-2025")),_xlfn.ANCHORARRAY( D2)), "DDD") &lt;&gt; "Sat")*(TEXT(DATE(2025, MONTH(DATEVALUE("1-" &amp; 'Work Journal'!N15 &amp; "-2025")),_xlfn.ANCHORARRAY( D2)), "DDD") &lt;&gt; "Sun")))</f>
        <v>1</v>
      </c>
      <c r="F2" s="84" t="s">
        <v>64</v>
      </c>
      <c r="G2" s="124" t="s">
        <v>63</v>
      </c>
      <c r="H2" s="125"/>
      <c r="I2" s="125"/>
      <c r="J2" s="126" t="s">
        <v>62</v>
      </c>
      <c r="K2" s="127"/>
      <c r="L2" s="128"/>
      <c r="M2" s="126" t="s">
        <v>61</v>
      </c>
      <c r="N2" s="128"/>
      <c r="O2" s="126" t="s">
        <v>60</v>
      </c>
      <c r="P2" s="128"/>
      <c r="Q2" s="126" t="s">
        <v>59</v>
      </c>
      <c r="R2" s="127"/>
      <c r="S2" s="128"/>
      <c r="T2" s="84" t="s">
        <v>58</v>
      </c>
      <c r="U2" s="115" t="s">
        <v>57</v>
      </c>
      <c r="V2" s="116"/>
      <c r="W2" s="117"/>
      <c r="X2" s="88" t="s">
        <v>56</v>
      </c>
      <c r="Z2" t="s">
        <v>55</v>
      </c>
      <c r="AA2" t="s">
        <v>54</v>
      </c>
      <c r="AB2" t="s">
        <v>53</v>
      </c>
      <c r="AC2" s="87"/>
      <c r="AD2" s="118" t="s">
        <v>52</v>
      </c>
      <c r="AE2" s="119"/>
      <c r="AF2" s="119"/>
      <c r="AG2" s="119"/>
      <c r="AH2" s="120"/>
      <c r="AJ2" s="86" t="s">
        <v>51</v>
      </c>
      <c r="AK2" s="85" t="s">
        <v>50</v>
      </c>
      <c r="AL2" s="84" t="s">
        <v>49</v>
      </c>
      <c r="AM2" s="83" t="s">
        <v>48</v>
      </c>
    </row>
    <row r="3" spans="1:39" ht="17" thickBot="1" x14ac:dyDescent="0.25">
      <c r="A3" s="45" t="s">
        <v>47</v>
      </c>
      <c r="B3" s="43" t="s">
        <v>39</v>
      </c>
      <c r="C3">
        <f ca="1"/>
        <v>2</v>
      </c>
      <c r="D3">
        <f ca="1"/>
        <v>2</v>
      </c>
      <c r="E3">
        <f ca="1"/>
        <v>2</v>
      </c>
      <c r="F3" s="70">
        <f ca="1">MAX(H:H)</f>
        <v>4</v>
      </c>
      <c r="G3" s="82" t="s">
        <v>46</v>
      </c>
      <c r="H3" s="78" t="s">
        <v>45</v>
      </c>
      <c r="I3" s="67" t="s">
        <v>29</v>
      </c>
      <c r="J3" s="73" t="s">
        <v>44</v>
      </c>
      <c r="K3" s="46">
        <v>1</v>
      </c>
      <c r="L3" s="67" t="s">
        <v>31</v>
      </c>
      <c r="M3" s="77">
        <v>8</v>
      </c>
      <c r="N3" s="81">
        <f ca="1">INDEX(_xlfn.ANCHORARRAY(C2),MATCH(M3,_xlfn.ANCHORARRAY(C2),0),1)</f>
        <v>8</v>
      </c>
      <c r="O3" s="77">
        <v>2025</v>
      </c>
      <c r="P3" s="80">
        <v>2025</v>
      </c>
      <c r="Q3" s="79" t="s">
        <v>68</v>
      </c>
      <c r="R3" s="73">
        <v>1</v>
      </c>
      <c r="S3" s="78" t="s">
        <v>31</v>
      </c>
      <c r="T3" s="77">
        <v>1</v>
      </c>
      <c r="U3" s="47" t="str">
        <f t="shared" ref="U3:U8" ca="1" si="0">Q3</f>
        <v>WRENCH</v>
      </c>
      <c r="V3" s="46">
        <v>80</v>
      </c>
      <c r="W3" s="76" t="s">
        <v>43</v>
      </c>
      <c r="X3" s="47">
        <v>114</v>
      </c>
      <c r="Z3" s="75" t="str" cm="1">
        <f t="array" aca="1" ref="Z3:AA5" ca="1">INDIRECT(_xlfn.CONCAT("G4:",ADDRESS(MATCH(MAX(H:H),H:H,0)-1,8,4)))</f>
        <v>Client 1</v>
      </c>
      <c r="AA3" s="74">
        <f ca="1"/>
        <v>1</v>
      </c>
      <c r="AB3" s="73" cm="1">
        <f t="array" aca="1" ref="AB3" ca="1">MAX(IF(ISNUMBER(INDIRECT(_xlfn.CONCAT("'",Z3,"'!","C:C"))),ROW(INDIRECT(_xlfn.CONCAT("'",Z3,"'!","C:C")))))</f>
        <v>12</v>
      </c>
      <c r="AC3" s="72"/>
      <c r="AD3" s="71">
        <v>45658</v>
      </c>
      <c r="AE3" s="71">
        <v>45659</v>
      </c>
      <c r="AF3" s="71">
        <v>45660</v>
      </c>
      <c r="AG3" s="71">
        <v>45661</v>
      </c>
      <c r="AH3" s="71">
        <v>45662</v>
      </c>
      <c r="AK3" s="43">
        <v>111</v>
      </c>
      <c r="AL3" s="60" t="s">
        <v>42</v>
      </c>
      <c r="AM3" s="70">
        <v>14</v>
      </c>
    </row>
    <row r="4" spans="1:39" ht="17" thickBot="1" x14ac:dyDescent="0.25">
      <c r="A4" s="45" t="s">
        <v>41</v>
      </c>
      <c r="B4" s="43" t="s">
        <v>30</v>
      </c>
      <c r="C4">
        <f ca="1"/>
        <v>3</v>
      </c>
      <c r="D4">
        <f ca="1"/>
        <v>3</v>
      </c>
      <c r="E4">
        <f ca="1"/>
        <v>3</v>
      </c>
      <c r="F4" s="70" t="str">
        <f ca="1">IF(I6="ADD NEW CLIENT","- -",I6)</f>
        <v>Client 1</v>
      </c>
      <c r="G4" s="59" t="s">
        <v>40</v>
      </c>
      <c r="H4" s="58">
        <v>1</v>
      </c>
      <c r="I4" s="40">
        <v>1</v>
      </c>
      <c r="J4" s="33" t="s">
        <v>39</v>
      </c>
      <c r="K4" s="42">
        <v>2</v>
      </c>
      <c r="L4" s="42" t="str">
        <f ca="1">INDEX(J3:K14,MATCH(L6,K3:K14,0),1)</f>
        <v>September</v>
      </c>
      <c r="Q4" s="51" t="s">
        <v>69</v>
      </c>
      <c r="R4" s="33">
        <v>2</v>
      </c>
      <c r="S4" s="33" t="str">
        <f ca="1">INDEX(Q3:R8,MATCH(S6,R3:R8,0),1)</f>
        <v>WRENCH</v>
      </c>
      <c r="U4" s="41" t="str">
        <f t="shared" ca="1" si="0"/>
        <v>HAMMER</v>
      </c>
      <c r="V4" s="40">
        <v>60</v>
      </c>
      <c r="W4" s="69">
        <f ca="1">INDEX(U3:V8,MATCH(S4,U3:U8,0),2)*T3</f>
        <v>80</v>
      </c>
      <c r="X4" s="68" t="s">
        <v>38</v>
      </c>
      <c r="Z4" s="34" t="str">
        <f ca="1"/>
        <v>Client 2</v>
      </c>
      <c r="AA4">
        <f ca="1"/>
        <v>2</v>
      </c>
      <c r="AB4" s="33" cm="1">
        <f t="array" aca="1" ref="AB4" ca="1">MAX(IF(ISNUMBER(INDIRECT(_xlfn.CONCAT("'",Z4,"'!","C:C"))),ROW(INDIRECT(_xlfn.CONCAT("'",Z4,"'!","C:C")))))</f>
        <v>12</v>
      </c>
      <c r="AC4" s="62" t="s">
        <v>37</v>
      </c>
      <c r="AD4" s="54">
        <v>12</v>
      </c>
      <c r="AE4" s="54">
        <v>12</v>
      </c>
      <c r="AF4" s="54">
        <v>12</v>
      </c>
      <c r="AG4" s="54">
        <v>12</v>
      </c>
      <c r="AH4" s="54">
        <v>12</v>
      </c>
      <c r="AJ4" s="60" t="s">
        <v>36</v>
      </c>
      <c r="AK4" s="60" t="s">
        <v>35</v>
      </c>
      <c r="AL4" s="43">
        <v>10</v>
      </c>
    </row>
    <row r="5" spans="1:39" ht="17" thickBot="1" x14ac:dyDescent="0.25">
      <c r="A5" s="45" t="s">
        <v>34</v>
      </c>
      <c r="B5" s="43" t="s">
        <v>24</v>
      </c>
      <c r="C5">
        <f ca="1"/>
        <v>4</v>
      </c>
      <c r="D5">
        <f ca="1"/>
        <v>4</v>
      </c>
      <c r="E5">
        <f ca="1"/>
        <v>4</v>
      </c>
      <c r="F5" s="67" t="s">
        <v>33</v>
      </c>
      <c r="G5" s="59" t="s">
        <v>32</v>
      </c>
      <c r="H5" s="58">
        <v>2</v>
      </c>
      <c r="I5" s="66" t="s">
        <v>31</v>
      </c>
      <c r="J5" s="33" t="s">
        <v>30</v>
      </c>
      <c r="K5" s="42">
        <v>3</v>
      </c>
      <c r="L5" s="65" t="s">
        <v>29</v>
      </c>
      <c r="Q5" s="51" t="s">
        <v>70</v>
      </c>
      <c r="R5" s="33">
        <v>3</v>
      </c>
      <c r="S5" s="64" t="s">
        <v>29</v>
      </c>
      <c r="U5" s="41" t="str">
        <f t="shared" ca="1" si="0"/>
        <v>BUZZSAW</v>
      </c>
      <c r="V5" s="40">
        <v>150</v>
      </c>
      <c r="W5" s="63" t="s">
        <v>28</v>
      </c>
      <c r="X5" s="44">
        <v>14</v>
      </c>
      <c r="Z5" s="34" t="str">
        <f ca="1"/>
        <v>Client 3</v>
      </c>
      <c r="AA5">
        <f ca="1"/>
        <v>3</v>
      </c>
      <c r="AB5" s="33" cm="1">
        <f t="array" aca="1" ref="AB5" ca="1">MAX(IF(ISNUMBER(INDIRECT(_xlfn.CONCAT("'",Z5,"'!","C:C"))),ROW(INDIRECT(_xlfn.CONCAT("'",Z5,"'!","C:C")))))</f>
        <v>12</v>
      </c>
      <c r="AC5" s="62" t="s">
        <v>27</v>
      </c>
      <c r="AD5" s="54">
        <v>0</v>
      </c>
      <c r="AE5" s="54">
        <v>0</v>
      </c>
      <c r="AF5" s="54">
        <v>0</v>
      </c>
      <c r="AG5" s="54">
        <v>0</v>
      </c>
      <c r="AH5" s="54">
        <v>0</v>
      </c>
      <c r="AK5" s="61">
        <v>12</v>
      </c>
      <c r="AL5" s="60" t="s">
        <v>26</v>
      </c>
    </row>
    <row r="6" spans="1:39" ht="17" thickBot="1" x14ac:dyDescent="0.25">
      <c r="A6" s="45" t="s">
        <v>20</v>
      </c>
      <c r="B6" s="43" t="s">
        <v>20</v>
      </c>
      <c r="C6">
        <f ca="1"/>
        <v>5</v>
      </c>
      <c r="D6">
        <f ca="1"/>
        <v>5</v>
      </c>
      <c r="E6">
        <f ca="1"/>
        <v>5</v>
      </c>
      <c r="F6" s="36">
        <f ca="1">MATCH("ADD NEW CLIENT",G:G,0)</f>
        <v>7</v>
      </c>
      <c r="G6" s="59" t="s">
        <v>25</v>
      </c>
      <c r="H6" s="58">
        <v>3</v>
      </c>
      <c r="I6" s="36" t="str">
        <f ca="1">INDEX(G4:H7,MATCH(I4,H4:H7,0),1)</f>
        <v>Client 1</v>
      </c>
      <c r="J6" s="33" t="s">
        <v>24</v>
      </c>
      <c r="K6" s="42">
        <v>4</v>
      </c>
      <c r="L6" s="39">
        <v>9</v>
      </c>
      <c r="Q6" s="51" t="s">
        <v>71</v>
      </c>
      <c r="R6" s="33">
        <v>4</v>
      </c>
      <c r="S6" s="33">
        <v>1</v>
      </c>
      <c r="U6" s="41" t="str">
        <f t="shared" ca="1" si="0"/>
        <v>SCREWDRIVER</v>
      </c>
      <c r="V6" s="40">
        <v>20</v>
      </c>
      <c r="W6" s="57">
        <f ca="1">INDEX(U9:V14,MATCH(S4,U9:U14,0),2)*T3</f>
        <v>40</v>
      </c>
      <c r="Z6" s="34"/>
      <c r="AB6" s="33" cm="1">
        <f t="array" aca="1" ref="AB6" ca="1">MAX(IF(ISNUMBER(INDIRECT(_xlfn.CONCAT("'",Z6,"'!","C:C"))),ROW(INDIRECT(_xlfn.CONCAT("'",Z6,"'!","C:C")))))</f>
        <v>0</v>
      </c>
      <c r="AC6" s="56" t="s">
        <v>23</v>
      </c>
      <c r="AD6" s="55">
        <v>22</v>
      </c>
      <c r="AE6" s="54">
        <v>22</v>
      </c>
      <c r="AF6" s="54">
        <v>22</v>
      </c>
      <c r="AG6" s="54">
        <v>22</v>
      </c>
      <c r="AH6" s="54">
        <v>22</v>
      </c>
      <c r="AL6" s="43" t="str" cm="1">
        <f t="array" aca="1" ref="AL6" ca="1">INDIRECT(_xlfn.CONCAT("'Order Tracker'!G",AL4))</f>
        <v>CLIENT
(select to see sheet)</v>
      </c>
    </row>
    <row r="7" spans="1:39" ht="17" thickBot="1" x14ac:dyDescent="0.25">
      <c r="A7" s="45" t="s">
        <v>22</v>
      </c>
      <c r="B7" s="43" t="s">
        <v>17</v>
      </c>
      <c r="C7">
        <f ca="1"/>
        <v>6</v>
      </c>
      <c r="D7">
        <f ca="1"/>
        <v>6</v>
      </c>
      <c r="E7">
        <f ca="1"/>
        <v>8</v>
      </c>
      <c r="G7" s="53" t="s">
        <v>21</v>
      </c>
      <c r="H7" s="52">
        <f ca="1">MAX(INDIRECT(_xlfn.CONCAT("H4:",ADDRESS(ROW()-1,8,4))))+1</f>
        <v>4</v>
      </c>
      <c r="J7" s="40" t="s">
        <v>20</v>
      </c>
      <c r="K7" s="42">
        <v>5</v>
      </c>
      <c r="L7" s="38"/>
      <c r="Q7" s="51" t="s">
        <v>72</v>
      </c>
      <c r="R7" s="33">
        <v>5</v>
      </c>
      <c r="S7" s="33"/>
      <c r="U7" s="41" t="str">
        <f t="shared" ca="1" si="0"/>
        <v>NAILS</v>
      </c>
      <c r="V7" s="40">
        <v>35</v>
      </c>
      <c r="W7" s="41"/>
      <c r="Z7" s="34"/>
      <c r="AB7" s="33" cm="1">
        <f t="array" aca="1" ref="AB7" ca="1">MAX(IF(ISNUMBER(INDIRECT(_xlfn.CONCAT("'",Z7,"'!","C:C"))),ROW(INDIRECT(_xlfn.CONCAT("'",Z7,"'!","C:C")))))</f>
        <v>0</v>
      </c>
      <c r="AC7" s="50" t="s">
        <v>19</v>
      </c>
      <c r="AD7" s="49" t="str">
        <f ca="1">IF(AND(AD6&gt;AD5,AD6&lt;=22),"N/A",AD5-AD6+1)</f>
        <v>N/A</v>
      </c>
      <c r="AE7" s="49" t="str">
        <f ca="1">IF(AND(AE6&gt;AE5,AE6&lt;=22),"N/A",AE5-AE6+1)</f>
        <v>N/A</v>
      </c>
      <c r="AF7" s="49" t="str">
        <f ca="1">IF(AND(AF6&gt;AF5,AF6&lt;=22),"N/A",AF5-AF6+1)</f>
        <v>N/A</v>
      </c>
      <c r="AG7" s="49" t="str">
        <f ca="1">IF(AND(AG6&gt;AG5,AG6&lt;=22),"N/A",AG5-AG6+1)</f>
        <v>N/A</v>
      </c>
      <c r="AH7" s="49" t="str">
        <f ca="1">IF(AND(AH6&gt;AH5,AH6&lt;=22),"N/A",AH5-AH6+1)</f>
        <v>N/A</v>
      </c>
    </row>
    <row r="8" spans="1:39" ht="17" thickBot="1" x14ac:dyDescent="0.25">
      <c r="A8" s="45" t="s">
        <v>18</v>
      </c>
      <c r="B8" s="43" t="s">
        <v>15</v>
      </c>
      <c r="C8">
        <f ca="1"/>
        <v>7</v>
      </c>
      <c r="D8">
        <f ca="1"/>
        <v>7</v>
      </c>
      <c r="E8">
        <f ca="1"/>
        <v>9</v>
      </c>
      <c r="J8" s="40" t="s">
        <v>17</v>
      </c>
      <c r="K8" s="42">
        <v>6</v>
      </c>
      <c r="L8" s="38"/>
      <c r="Q8" s="48" t="s">
        <v>73</v>
      </c>
      <c r="R8" s="30">
        <v>6</v>
      </c>
      <c r="S8" s="30"/>
      <c r="U8" s="37" t="str">
        <f t="shared" ca="1" si="0"/>
        <v>MEASURING TAPE</v>
      </c>
      <c r="V8" s="36">
        <v>15</v>
      </c>
      <c r="W8" s="37"/>
      <c r="Z8" s="34"/>
      <c r="AB8" s="33" cm="1">
        <f t="array" aca="1" ref="AB8" ca="1">MAX(IF(ISNUMBER(INDIRECT(_xlfn.CONCAT("'",Z8,"'!","C:C"))),ROW(INDIRECT(_xlfn.CONCAT("'",Z8,"'!","C:C")))))</f>
        <v>0</v>
      </c>
    </row>
    <row r="9" spans="1:39" x14ac:dyDescent="0.2">
      <c r="A9" s="45" t="s">
        <v>16</v>
      </c>
      <c r="B9" s="43" t="s">
        <v>13</v>
      </c>
      <c r="C9">
        <f ca="1"/>
        <v>8</v>
      </c>
      <c r="D9">
        <f ca="1"/>
        <v>8</v>
      </c>
      <c r="E9">
        <f ca="1"/>
        <v>10</v>
      </c>
      <c r="J9" s="40" t="s">
        <v>15</v>
      </c>
      <c r="K9" s="42">
        <v>7</v>
      </c>
      <c r="L9" s="38"/>
      <c r="U9" s="47" t="str">
        <f t="shared" ref="U9:U14" ca="1" si="1">Q3</f>
        <v>WRENCH</v>
      </c>
      <c r="V9" s="46">
        <v>40</v>
      </c>
      <c r="Z9" s="34"/>
      <c r="AB9" s="33" cm="1">
        <f t="array" aca="1" ref="AB9" ca="1">MAX(IF(ISNUMBER(INDIRECT(_xlfn.CONCAT("'",Z9,"'!","C:C"))),ROW(INDIRECT(_xlfn.CONCAT("'",Z9,"'!","C:C")))))</f>
        <v>0</v>
      </c>
    </row>
    <row r="10" spans="1:39" x14ac:dyDescent="0.2">
      <c r="A10" s="45" t="s">
        <v>14</v>
      </c>
      <c r="B10" s="43" t="s">
        <v>3</v>
      </c>
      <c r="C10">
        <f ca="1"/>
        <v>9</v>
      </c>
      <c r="D10">
        <f ca="1"/>
        <v>9</v>
      </c>
      <c r="E10">
        <f ca="1"/>
        <v>11</v>
      </c>
      <c r="J10" s="40" t="s">
        <v>13</v>
      </c>
      <c r="K10" s="42">
        <v>8</v>
      </c>
      <c r="L10" s="38"/>
      <c r="U10" s="41" t="str">
        <f t="shared" ca="1" si="1"/>
        <v>HAMMER</v>
      </c>
      <c r="V10" s="40">
        <v>30</v>
      </c>
      <c r="Z10" s="34"/>
      <c r="AB10" s="33" cm="1">
        <f t="array" aca="1" ref="AB10" ca="1">MAX(IF(ISNUMBER(INDIRECT(_xlfn.CONCAT("'",Z10,"'!","C:C"))),ROW(INDIRECT(_xlfn.CONCAT("'",Z10,"'!","C:C")))))</f>
        <v>0</v>
      </c>
    </row>
    <row r="11" spans="1:39" x14ac:dyDescent="0.2">
      <c r="A11" s="45" t="s">
        <v>12</v>
      </c>
      <c r="B11" s="43" t="s">
        <v>10</v>
      </c>
      <c r="C11">
        <f ca="1"/>
        <v>10</v>
      </c>
      <c r="D11">
        <f ca="1"/>
        <v>10</v>
      </c>
      <c r="E11">
        <f ca="1"/>
        <v>12</v>
      </c>
      <c r="J11" s="40" t="s">
        <v>3</v>
      </c>
      <c r="K11" s="42">
        <v>9</v>
      </c>
      <c r="L11" s="38"/>
      <c r="U11" s="41" t="str">
        <f t="shared" ca="1" si="1"/>
        <v>BUZZSAW</v>
      </c>
      <c r="V11" s="40">
        <v>75</v>
      </c>
      <c r="Z11" s="34"/>
      <c r="AB11" s="33" cm="1">
        <f t="array" aca="1" ref="AB11" ca="1">MAX(IF(ISNUMBER(INDIRECT(_xlfn.CONCAT("'",Z11,"'!","C:C"))),ROW(INDIRECT(_xlfn.CONCAT("'",Z11,"'!","C:C")))))</f>
        <v>0</v>
      </c>
    </row>
    <row r="12" spans="1:39" x14ac:dyDescent="0.2">
      <c r="A12" s="45" t="s">
        <v>11</v>
      </c>
      <c r="B12" s="43" t="s">
        <v>8</v>
      </c>
      <c r="C12">
        <f ca="1"/>
        <v>11</v>
      </c>
      <c r="D12">
        <f ca="1"/>
        <v>11</v>
      </c>
      <c r="E12">
        <f ca="1"/>
        <v>15</v>
      </c>
      <c r="J12" s="40" t="s">
        <v>10</v>
      </c>
      <c r="K12" s="42">
        <v>10</v>
      </c>
      <c r="L12" s="38"/>
      <c r="U12" s="41" t="str">
        <f t="shared" ca="1" si="1"/>
        <v>SCREWDRIVER</v>
      </c>
      <c r="V12" s="40">
        <v>10</v>
      </c>
      <c r="Z12" s="34"/>
      <c r="AB12" s="33" cm="1">
        <f t="array" aca="1" ref="AB12" ca="1">MAX(IF(ISNUMBER(INDIRECT(_xlfn.CONCAT("'",Z12,"'!","C:C"))),ROW(INDIRECT(_xlfn.CONCAT("'",Z12,"'!","C:C")))))</f>
        <v>0</v>
      </c>
    </row>
    <row r="13" spans="1:39" ht="17" thickBot="1" x14ac:dyDescent="0.25">
      <c r="A13" s="44" t="s">
        <v>9</v>
      </c>
      <c r="B13" s="43" t="s">
        <v>7</v>
      </c>
      <c r="C13">
        <f ca="1"/>
        <v>12</v>
      </c>
      <c r="D13">
        <f ca="1"/>
        <v>12</v>
      </c>
      <c r="E13">
        <f ca="1"/>
        <v>16</v>
      </c>
      <c r="J13" s="40" t="s">
        <v>8</v>
      </c>
      <c r="K13" s="42">
        <v>11</v>
      </c>
      <c r="L13" s="38"/>
      <c r="U13" s="41" t="str">
        <f t="shared" ca="1" si="1"/>
        <v>NAILS</v>
      </c>
      <c r="V13" s="40">
        <v>17.5</v>
      </c>
      <c r="Z13" s="34"/>
      <c r="AB13" s="33" cm="1">
        <f t="array" aca="1" ref="AB13" ca="1">MAX(IF(ISNUMBER(INDIRECT(_xlfn.CONCAT("'",Z13,"'!","C:C"))),ROW(INDIRECT(_xlfn.CONCAT("'",Z13,"'!","C:C")))))</f>
        <v>0</v>
      </c>
    </row>
    <row r="14" spans="1:39" ht="17" thickBot="1" x14ac:dyDescent="0.25">
      <c r="C14">
        <f ca="1"/>
        <v>13</v>
      </c>
      <c r="D14">
        <f ca="1"/>
        <v>13</v>
      </c>
      <c r="E14">
        <f ca="1"/>
        <v>17</v>
      </c>
      <c r="J14" s="36" t="s">
        <v>7</v>
      </c>
      <c r="K14" s="39">
        <v>12</v>
      </c>
      <c r="L14" s="38"/>
      <c r="U14" s="37" t="str">
        <f t="shared" ca="1" si="1"/>
        <v>MEASURING TAPE</v>
      </c>
      <c r="V14" s="36">
        <v>7.5</v>
      </c>
      <c r="Z14" s="34"/>
      <c r="AB14" s="33" cm="1">
        <f t="array" aca="1" ref="AB14" ca="1">MAX(IF(ISNUMBER(INDIRECT(_xlfn.CONCAT("'",Z14,"'!","C:C"))),ROW(INDIRECT(_xlfn.CONCAT("'",Z14,"'!","C:C")))))</f>
        <v>0</v>
      </c>
    </row>
    <row r="15" spans="1:39" x14ac:dyDescent="0.2">
      <c r="C15">
        <f ca="1"/>
        <v>14</v>
      </c>
      <c r="D15">
        <f ca="1"/>
        <v>14</v>
      </c>
      <c r="E15">
        <f ca="1"/>
        <v>18</v>
      </c>
      <c r="Z15" s="34"/>
      <c r="AB15" s="33" cm="1">
        <f t="array" aca="1" ref="AB15" ca="1">MAX(IF(ISNUMBER(INDIRECT(_xlfn.CONCAT("'",Z15,"'!","C:C"))),ROW(INDIRECT(_xlfn.CONCAT("'",Z15,"'!","C:C")))))</f>
        <v>0</v>
      </c>
    </row>
    <row r="16" spans="1:39" x14ac:dyDescent="0.2">
      <c r="C16">
        <f ca="1"/>
        <v>15</v>
      </c>
      <c r="D16">
        <f ca="1"/>
        <v>15</v>
      </c>
      <c r="E16">
        <f ca="1"/>
        <v>19</v>
      </c>
      <c r="Z16" s="34"/>
      <c r="AB16" s="33" cm="1">
        <f t="array" aca="1" ref="AB16" ca="1">MAX(IF(ISNUMBER(INDIRECT(_xlfn.CONCAT("'",Z16,"'!","C:C"))),ROW(INDIRECT(_xlfn.CONCAT("'",Z16,"'!","C:C")))))</f>
        <v>0</v>
      </c>
    </row>
    <row r="17" spans="3:28" x14ac:dyDescent="0.2">
      <c r="C17">
        <f ca="1"/>
        <v>16</v>
      </c>
      <c r="D17">
        <f ca="1"/>
        <v>16</v>
      </c>
      <c r="E17">
        <f ca="1"/>
        <v>22</v>
      </c>
      <c r="Z17" s="34"/>
      <c r="AB17" s="33" cm="1">
        <f t="array" aca="1" ref="AB17" ca="1">MAX(IF(ISNUMBER(INDIRECT(_xlfn.CONCAT("'",Z17,"'!","C:C"))),ROW(INDIRECT(_xlfn.CONCAT("'",Z17,"'!","C:C")))))</f>
        <v>0</v>
      </c>
    </row>
    <row r="18" spans="3:28" x14ac:dyDescent="0.2">
      <c r="C18">
        <f ca="1"/>
        <v>17</v>
      </c>
      <c r="D18">
        <f ca="1"/>
        <v>17</v>
      </c>
      <c r="E18">
        <f ca="1"/>
        <v>23</v>
      </c>
      <c r="Z18" s="34"/>
      <c r="AB18" s="33" cm="1">
        <f t="array" aca="1" ref="AB18" ca="1">MAX(IF(ISNUMBER(INDIRECT(_xlfn.CONCAT("'",Z18,"'!","C:C"))),ROW(INDIRECT(_xlfn.CONCAT("'",Z18,"'!","C:C")))))</f>
        <v>0</v>
      </c>
    </row>
    <row r="19" spans="3:28" x14ac:dyDescent="0.2">
      <c r="C19">
        <f ca="1"/>
        <v>18</v>
      </c>
      <c r="D19">
        <f ca="1"/>
        <v>18</v>
      </c>
      <c r="E19">
        <f ca="1"/>
        <v>24</v>
      </c>
      <c r="Z19" s="34"/>
      <c r="AB19" s="33" cm="1">
        <f t="array" aca="1" ref="AB19" ca="1">MAX(IF(ISNUMBER(INDIRECT(_xlfn.CONCAT("'",Z19,"'!","C:C"))),ROW(INDIRECT(_xlfn.CONCAT("'",Z19,"'!","C:C")))))</f>
        <v>0</v>
      </c>
    </row>
    <row r="20" spans="3:28" x14ac:dyDescent="0.2">
      <c r="C20">
        <f ca="1"/>
        <v>19</v>
      </c>
      <c r="D20">
        <f ca="1"/>
        <v>19</v>
      </c>
      <c r="E20">
        <f ca="1"/>
        <v>25</v>
      </c>
      <c r="Z20" s="34"/>
      <c r="AB20" s="33" cm="1">
        <f t="array" aca="1" ref="AB20" ca="1">MAX(IF(ISNUMBER(INDIRECT(_xlfn.CONCAT("'",Z20,"'!","C:C"))),ROW(INDIRECT(_xlfn.CONCAT("'",Z20,"'!","C:C")))))</f>
        <v>0</v>
      </c>
    </row>
    <row r="21" spans="3:28" x14ac:dyDescent="0.2">
      <c r="C21">
        <f ca="1"/>
        <v>20</v>
      </c>
      <c r="D21">
        <f ca="1"/>
        <v>20</v>
      </c>
      <c r="E21">
        <f ca="1"/>
        <v>26</v>
      </c>
      <c r="Z21" s="34"/>
      <c r="AB21" s="33" cm="1">
        <f t="array" aca="1" ref="AB21" ca="1">MAX(IF(ISNUMBER(INDIRECT(_xlfn.CONCAT("'",Z21,"'!","C:C"))),ROW(INDIRECT(_xlfn.CONCAT("'",Z21,"'!","C:C")))))</f>
        <v>0</v>
      </c>
    </row>
    <row r="22" spans="3:28" x14ac:dyDescent="0.2">
      <c r="C22">
        <f ca="1"/>
        <v>21</v>
      </c>
      <c r="D22">
        <f ca="1"/>
        <v>21</v>
      </c>
      <c r="E22">
        <f ca="1"/>
        <v>29</v>
      </c>
      <c r="Z22" s="34"/>
      <c r="AB22" s="33" cm="1">
        <f t="array" aca="1" ref="AB22" ca="1">MAX(IF(ISNUMBER(INDIRECT(_xlfn.CONCAT("'",Z22,"'!","C:C"))),ROW(INDIRECT(_xlfn.CONCAT("'",Z22,"'!","C:C")))))</f>
        <v>0</v>
      </c>
    </row>
    <row r="23" spans="3:28" x14ac:dyDescent="0.2">
      <c r="C23">
        <f ca="1"/>
        <v>22</v>
      </c>
      <c r="D23">
        <f ca="1"/>
        <v>22</v>
      </c>
      <c r="E23">
        <f ca="1"/>
        <v>30</v>
      </c>
      <c r="Z23" s="34"/>
      <c r="AB23" s="33" cm="1">
        <f t="array" aca="1" ref="AB23" ca="1">MAX(IF(ISNUMBER(INDIRECT(_xlfn.CONCAT("'",Z23,"'!","C:C"))),ROW(INDIRECT(_xlfn.CONCAT("'",Z23,"'!","C:C")))))</f>
        <v>0</v>
      </c>
    </row>
    <row r="24" spans="3:28" x14ac:dyDescent="0.2">
      <c r="C24">
        <f ca="1"/>
        <v>23</v>
      </c>
      <c r="D24">
        <f ca="1"/>
        <v>23</v>
      </c>
      <c r="Z24" s="34"/>
      <c r="AB24" s="33" cm="1">
        <f t="array" aca="1" ref="AB24" ca="1">MAX(IF(ISNUMBER(INDIRECT(_xlfn.CONCAT("'",Z24,"'!","C:C"))),ROW(INDIRECT(_xlfn.CONCAT("'",Z24,"'!","C:C")))))</f>
        <v>0</v>
      </c>
    </row>
    <row r="25" spans="3:28" x14ac:dyDescent="0.2">
      <c r="C25">
        <f ca="1"/>
        <v>24</v>
      </c>
      <c r="D25">
        <f ca="1"/>
        <v>24</v>
      </c>
      <c r="E25" s="35"/>
      <c r="F25" s="35"/>
      <c r="Z25" s="34"/>
      <c r="AB25" s="33" cm="1">
        <f t="array" aca="1" ref="AB25" ca="1">MAX(IF(ISNUMBER(INDIRECT(_xlfn.CONCAT("'",Z25,"'!","C:C"))),ROW(INDIRECT(_xlfn.CONCAT("'",Z25,"'!","C:C")))))</f>
        <v>0</v>
      </c>
    </row>
    <row r="26" spans="3:28" x14ac:dyDescent="0.2">
      <c r="C26">
        <f ca="1"/>
        <v>25</v>
      </c>
      <c r="D26">
        <f ca="1"/>
        <v>25</v>
      </c>
      <c r="E26" s="35"/>
      <c r="F26" s="35"/>
      <c r="Z26" s="34"/>
      <c r="AB26" s="33" cm="1">
        <f t="array" aca="1" ref="AB26" ca="1">MAX(IF(ISNUMBER(INDIRECT(_xlfn.CONCAT("'",Z26,"'!","C:C"))),ROW(INDIRECT(_xlfn.CONCAT("'",Z26,"'!","C:C")))))</f>
        <v>0</v>
      </c>
    </row>
    <row r="27" spans="3:28" x14ac:dyDescent="0.2">
      <c r="C27">
        <f ca="1"/>
        <v>26</v>
      </c>
      <c r="D27">
        <f ca="1"/>
        <v>26</v>
      </c>
      <c r="E27" s="35"/>
      <c r="F27" s="35"/>
      <c r="Z27" s="34"/>
      <c r="AB27" s="33" cm="1">
        <f t="array" aca="1" ref="AB27" ca="1">MAX(IF(ISNUMBER(INDIRECT(_xlfn.CONCAT("'",Z27,"'!","C:C"))),ROW(INDIRECT(_xlfn.CONCAT("'",Z27,"'!","C:C")))))</f>
        <v>0</v>
      </c>
    </row>
    <row r="28" spans="3:28" x14ac:dyDescent="0.2">
      <c r="C28">
        <f ca="1"/>
        <v>27</v>
      </c>
      <c r="D28">
        <f ca="1"/>
        <v>27</v>
      </c>
      <c r="E28" s="35"/>
      <c r="F28" s="35"/>
      <c r="Z28" s="34"/>
      <c r="AB28" s="33" cm="1">
        <f t="array" aca="1" ref="AB28" ca="1">MAX(IF(ISNUMBER(INDIRECT(_xlfn.CONCAT("'",Z28,"'!","C:C"))),ROW(INDIRECT(_xlfn.CONCAT("'",Z28,"'!","C:C")))))</f>
        <v>0</v>
      </c>
    </row>
    <row r="29" spans="3:28" x14ac:dyDescent="0.2">
      <c r="C29">
        <f ca="1"/>
        <v>28</v>
      </c>
      <c r="D29">
        <f ca="1"/>
        <v>28</v>
      </c>
      <c r="E29" s="35"/>
      <c r="F29" s="35"/>
      <c r="Z29" s="34"/>
      <c r="AB29" s="33" cm="1">
        <f t="array" aca="1" ref="AB29" ca="1">MAX(IF(ISNUMBER(INDIRECT(_xlfn.CONCAT("'",Z29,"'!","C:C"))),ROW(INDIRECT(_xlfn.CONCAT("'",Z29,"'!","C:C")))))</f>
        <v>0</v>
      </c>
    </row>
    <row r="30" spans="3:28" x14ac:dyDescent="0.2">
      <c r="C30">
        <f ca="1"/>
        <v>29</v>
      </c>
      <c r="D30">
        <f ca="1"/>
        <v>29</v>
      </c>
      <c r="E30" s="35"/>
      <c r="F30" s="35"/>
      <c r="Z30" s="34"/>
      <c r="AB30" s="33" cm="1">
        <f t="array" aca="1" ref="AB30" ca="1">MAX(IF(ISNUMBER(INDIRECT(_xlfn.CONCAT("'",Z30,"'!","C:C"))),ROW(INDIRECT(_xlfn.CONCAT("'",Z30,"'!","C:C")))))</f>
        <v>0</v>
      </c>
    </row>
    <row r="31" spans="3:28" x14ac:dyDescent="0.2">
      <c r="C31">
        <f ca="1"/>
        <v>30</v>
      </c>
      <c r="D31">
        <f ca="1"/>
        <v>30</v>
      </c>
      <c r="E31" s="35"/>
      <c r="F31" s="35"/>
      <c r="Z31" s="34"/>
      <c r="AB31" s="33" cm="1">
        <f t="array" aca="1" ref="AB31" ca="1">MAX(IF(ISNUMBER(INDIRECT(_xlfn.CONCAT("'",Z31,"'!","C:C"))),ROW(INDIRECT(_xlfn.CONCAT("'",Z31,"'!","C:C")))))</f>
        <v>0</v>
      </c>
    </row>
    <row r="32" spans="3:28" x14ac:dyDescent="0.2">
      <c r="E32" s="35"/>
      <c r="F32" s="35"/>
      <c r="Z32" s="34"/>
      <c r="AB32" s="33" cm="1">
        <f t="array" aca="1" ref="AB32" ca="1">MAX(IF(ISNUMBER(INDIRECT(_xlfn.CONCAT("'",Z32,"'!","C:C"))),ROW(INDIRECT(_xlfn.CONCAT("'",Z32,"'!","C:C")))))</f>
        <v>0</v>
      </c>
    </row>
    <row r="33" spans="26:28" x14ac:dyDescent="0.2">
      <c r="Z33" s="34"/>
      <c r="AB33" s="33" cm="1">
        <f t="array" aca="1" ref="AB33" ca="1">MAX(IF(ISNUMBER(INDIRECT(_xlfn.CONCAT("'",Z33,"'!","C:C"))),ROW(INDIRECT(_xlfn.CONCAT("'",Z33,"'!","C:C")))))</f>
        <v>0</v>
      </c>
    </row>
    <row r="34" spans="26:28" x14ac:dyDescent="0.2">
      <c r="Z34" s="34"/>
      <c r="AB34" s="33" cm="1">
        <f t="array" aca="1" ref="AB34" ca="1">MAX(IF(ISNUMBER(INDIRECT(_xlfn.CONCAT("'",Z34,"'!","C:C"))),ROW(INDIRECT(_xlfn.CONCAT("'",Z34,"'!","C:C")))))</f>
        <v>0</v>
      </c>
    </row>
    <row r="35" spans="26:28" x14ac:dyDescent="0.2">
      <c r="Z35" s="34"/>
      <c r="AB35" s="33" cm="1">
        <f t="array" aca="1" ref="AB35" ca="1">MAX(IF(ISNUMBER(INDIRECT(_xlfn.CONCAT("'",Z35,"'!","C:C"))),ROW(INDIRECT(_xlfn.CONCAT("'",Z35,"'!","C:C")))))</f>
        <v>0</v>
      </c>
    </row>
    <row r="36" spans="26:28" x14ac:dyDescent="0.2">
      <c r="Z36" s="34"/>
      <c r="AB36" s="33" cm="1">
        <f t="array" aca="1" ref="AB36" ca="1">MAX(IF(ISNUMBER(INDIRECT(_xlfn.CONCAT("'",Z36,"'!","C:C"))),ROW(INDIRECT(_xlfn.CONCAT("'",Z36,"'!","C:C")))))</f>
        <v>0</v>
      </c>
    </row>
    <row r="37" spans="26:28" x14ac:dyDescent="0.2">
      <c r="Z37" s="34"/>
      <c r="AB37" s="33" cm="1">
        <f t="array" aca="1" ref="AB37" ca="1">MAX(IF(ISNUMBER(INDIRECT(_xlfn.CONCAT("'",Z37,"'!","C:C"))),ROW(INDIRECT(_xlfn.CONCAT("'",Z37,"'!","C:C")))))</f>
        <v>0</v>
      </c>
    </row>
    <row r="38" spans="26:28" x14ac:dyDescent="0.2">
      <c r="Z38" s="34"/>
      <c r="AB38" s="33" cm="1">
        <f t="array" aca="1" ref="AB38" ca="1">MAX(IF(ISNUMBER(INDIRECT(_xlfn.CONCAT("'",Z38,"'!","C:C"))),ROW(INDIRECT(_xlfn.CONCAT("'",Z38,"'!","C:C")))))</f>
        <v>0</v>
      </c>
    </row>
    <row r="39" spans="26:28" x14ac:dyDescent="0.2">
      <c r="Z39" s="34"/>
      <c r="AB39" s="33" cm="1">
        <f t="array" aca="1" ref="AB39" ca="1">MAX(IF(ISNUMBER(INDIRECT(_xlfn.CONCAT("'",Z39,"'!","C:C"))),ROW(INDIRECT(_xlfn.CONCAT("'",Z39,"'!","C:C")))))</f>
        <v>0</v>
      </c>
    </row>
    <row r="40" spans="26:28" x14ac:dyDescent="0.2">
      <c r="Z40" s="34"/>
      <c r="AB40" s="33" cm="1">
        <f t="array" aca="1" ref="AB40" ca="1">MAX(IF(ISNUMBER(INDIRECT(_xlfn.CONCAT("'",Z40,"'!","C:C"))),ROW(INDIRECT(_xlfn.CONCAT("'",Z40,"'!","C:C")))))</f>
        <v>0</v>
      </c>
    </row>
    <row r="41" spans="26:28" x14ac:dyDescent="0.2">
      <c r="Z41" s="34"/>
      <c r="AB41" s="33" cm="1">
        <f t="array" aca="1" ref="AB41" ca="1">MAX(IF(ISNUMBER(INDIRECT(_xlfn.CONCAT("'",Z41,"'!","C:C"))),ROW(INDIRECT(_xlfn.CONCAT("'",Z41,"'!","C:C")))))</f>
        <v>0</v>
      </c>
    </row>
    <row r="42" spans="26:28" x14ac:dyDescent="0.2">
      <c r="Z42" s="34"/>
      <c r="AB42" s="33" cm="1">
        <f t="array" aca="1" ref="AB42" ca="1">MAX(IF(ISNUMBER(INDIRECT(_xlfn.CONCAT("'",Z42,"'!","C:C"))),ROW(INDIRECT(_xlfn.CONCAT("'",Z42,"'!","C:C")))))</f>
        <v>0</v>
      </c>
    </row>
    <row r="43" spans="26:28" x14ac:dyDescent="0.2">
      <c r="Z43" s="34"/>
      <c r="AB43" s="33" cm="1">
        <f t="array" aca="1" ref="AB43" ca="1">MAX(IF(ISNUMBER(INDIRECT(_xlfn.CONCAT("'",Z43,"'!","C:C"))),ROW(INDIRECT(_xlfn.CONCAT("'",Z43,"'!","C:C")))))</f>
        <v>0</v>
      </c>
    </row>
    <row r="44" spans="26:28" x14ac:dyDescent="0.2">
      <c r="Z44" s="34"/>
      <c r="AB44" s="33" cm="1">
        <f t="array" aca="1" ref="AB44" ca="1">MAX(IF(ISNUMBER(INDIRECT(_xlfn.CONCAT("'",Z44,"'!","C:C"))),ROW(INDIRECT(_xlfn.CONCAT("'",Z44,"'!","C:C")))))</f>
        <v>0</v>
      </c>
    </row>
    <row r="45" spans="26:28" x14ac:dyDescent="0.2">
      <c r="Z45" s="34"/>
      <c r="AB45" s="33" cm="1">
        <f t="array" aca="1" ref="AB45" ca="1">MAX(IF(ISNUMBER(INDIRECT(_xlfn.CONCAT("'",Z45,"'!","C:C"))),ROW(INDIRECT(_xlfn.CONCAT("'",Z45,"'!","C:C")))))</f>
        <v>0</v>
      </c>
    </row>
    <row r="46" spans="26:28" x14ac:dyDescent="0.2">
      <c r="Z46" s="34"/>
      <c r="AB46" s="33" cm="1">
        <f t="array" aca="1" ref="AB46" ca="1">MAX(IF(ISNUMBER(INDIRECT(_xlfn.CONCAT("'",Z46,"'!","C:C"))),ROW(INDIRECT(_xlfn.CONCAT("'",Z46,"'!","C:C")))))</f>
        <v>0</v>
      </c>
    </row>
    <row r="47" spans="26:28" x14ac:dyDescent="0.2">
      <c r="Z47" s="34"/>
      <c r="AB47" s="33" cm="1">
        <f t="array" aca="1" ref="AB47" ca="1">MAX(IF(ISNUMBER(INDIRECT(_xlfn.CONCAT("'",Z47,"'!","C:C"))),ROW(INDIRECT(_xlfn.CONCAT("'",Z47,"'!","C:C")))))</f>
        <v>0</v>
      </c>
    </row>
    <row r="48" spans="26:28" x14ac:dyDescent="0.2">
      <c r="Z48" s="34"/>
      <c r="AB48" s="33" cm="1">
        <f t="array" aca="1" ref="AB48" ca="1">MAX(IF(ISNUMBER(INDIRECT(_xlfn.CONCAT("'",Z48,"'!","C:C"))),ROW(INDIRECT(_xlfn.CONCAT("'",Z48,"'!","C:C")))))</f>
        <v>0</v>
      </c>
    </row>
    <row r="49" spans="26:28" x14ac:dyDescent="0.2">
      <c r="Z49" s="34"/>
      <c r="AB49" s="33" cm="1">
        <f t="array" aca="1" ref="AB49" ca="1">MAX(IF(ISNUMBER(INDIRECT(_xlfn.CONCAT("'",Z49,"'!","C:C"))),ROW(INDIRECT(_xlfn.CONCAT("'",Z49,"'!","C:C")))))</f>
        <v>0</v>
      </c>
    </row>
    <row r="50" spans="26:28" ht="17" thickBot="1" x14ac:dyDescent="0.25">
      <c r="Z50" s="32"/>
      <c r="AA50" s="31"/>
      <c r="AB50" s="30" cm="1">
        <f t="array" aca="1" ref="AB50" ca="1">MAX(IF(ISNUMBER(INDIRECT(_xlfn.CONCAT("'",Z50,"'!","C:C"))),ROW(INDIRECT(_xlfn.CONCAT("'",Z50,"'!","C:C")))))</f>
        <v>0</v>
      </c>
    </row>
  </sheetData>
  <mergeCells count="8">
    <mergeCell ref="U2:W2"/>
    <mergeCell ref="AD2:AH2"/>
    <mergeCell ref="B1:E1"/>
    <mergeCell ref="G2:I2"/>
    <mergeCell ref="J2:L2"/>
    <mergeCell ref="M2:N2"/>
    <mergeCell ref="O2:P2"/>
    <mergeCell ref="Q2:S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Work Journal</vt:lpstr>
      <vt:lpstr>Work Journal Entries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Asher Morton</dc:creator>
  <cp:lastModifiedBy>Asher Morton</cp:lastModifiedBy>
  <dcterms:created xsi:type="dcterms:W3CDTF">2025-09-21T00:45:26Z</dcterms:created>
  <dcterms:modified xsi:type="dcterms:W3CDTF">2025-09-21T00:54:11Z</dcterms:modified>
</cp:coreProperties>
</file>