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Applications/Documents/"/>
    </mc:Choice>
  </mc:AlternateContent>
  <xr:revisionPtr revIDLastSave="0" documentId="13_ncr:1_{3FCDA712-7771-9D41-BB20-146D3FC8941D}" xr6:coauthVersionLast="47" xr6:coauthVersionMax="47" xr10:uidLastSave="{00000000-0000-0000-0000-000000000000}"/>
  <bookViews>
    <workbookView xWindow="0" yWindow="500" windowWidth="15420" windowHeight="16340" activeTab="2" xr2:uid="{7730C376-0956-DA4F-BFC9-1A0F5E224E49}"/>
  </bookViews>
  <sheets>
    <sheet name="Sales Entry Portal" sheetId="7" r:id="rId1"/>
    <sheet name="Order Tracker" sheetId="6" r:id="rId2"/>
    <sheet name="Daily Sales Tracker" sheetId="5" r:id="rId3"/>
    <sheet name="Monthly Revenues" sheetId="8" r:id="rId4"/>
    <sheet name="Item Prices" sheetId="11" r:id="rId5"/>
    <sheet name="Client 3" sheetId="21" state="hidden" r:id="rId6"/>
    <sheet name="Client 2" sheetId="20" state="hidden" r:id="rId7"/>
    <sheet name="Client 1" sheetId="19" state="hidden" r:id="rId8"/>
    <sheet name="Page" sheetId="13" state="hidden" r:id="rId9"/>
    <sheet name="Data" sheetId="3" state="hidden" r:id="rId10"/>
  </sheets>
  <definedNames>
    <definedName name="_xleta.INDEX" hidden="1" xlm="1">#NAME?</definedName>
    <definedName name="_xleta.MATCH" hidden="1" xlm="1">#NAME?</definedName>
    <definedName name="_xleta.MAX" hidden="1" xlm="1">#NAME?</definedName>
    <definedName name="Flip">"Triangle 3,Minus 4"</definedName>
    <definedName name="FLIP_BUTTON">"Triangle 3,Minus 4"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5" l="1" a="1"/>
  <c r="C12" i="5"/>
  <c r="D12" i="5" a="1"/>
  <c r="D12" i="5"/>
  <c r="E12" i="5" a="1"/>
  <c r="E12" i="5"/>
  <c r="F12" i="5" a="1"/>
  <c r="F12" i="5"/>
  <c r="H12" i="5" a="1"/>
  <c r="H12" i="5"/>
  <c r="I12" i="5" a="1"/>
  <c r="I12" i="5"/>
  <c r="J12" i="5" a="1"/>
  <c r="J12" i="5"/>
  <c r="K12" i="5" a="1"/>
  <c r="K12" i="5"/>
  <c r="M12" i="5" a="1"/>
  <c r="M12" i="5"/>
  <c r="N12" i="5" a="1"/>
  <c r="N12" i="5"/>
  <c r="O12" i="5" a="1"/>
  <c r="O12" i="5"/>
  <c r="P12" i="5" a="1"/>
  <c r="P12" i="5"/>
  <c r="R12" i="5" a="1"/>
  <c r="R12" i="5"/>
  <c r="S12" i="5" a="1"/>
  <c r="S12" i="5"/>
  <c r="T12" i="5" a="1"/>
  <c r="T12" i="5"/>
  <c r="U12" i="5" a="1"/>
  <c r="U12" i="5"/>
  <c r="W12" i="5" a="1"/>
  <c r="W12" i="5"/>
  <c r="X12" i="5" a="1"/>
  <c r="X12" i="5"/>
  <c r="Y12" i="5" a="1"/>
  <c r="Y12" i="5"/>
  <c r="Z12" i="5" a="1"/>
  <c r="Z12" i="5"/>
  <c r="X3" i="3"/>
  <c r="X5" i="3" s="1"/>
  <c r="C32" i="21" l="1"/>
  <c r="C31" i="21"/>
  <c r="C30" i="21"/>
  <c r="C29" i="21"/>
  <c r="C28" i="21"/>
  <c r="C27" i="21"/>
  <c r="M11" i="21"/>
  <c r="M10" i="21" s="1"/>
  <c r="L11" i="21"/>
  <c r="K11" i="21"/>
  <c r="L10" i="21"/>
  <c r="K10" i="21"/>
  <c r="J10" i="21"/>
  <c r="C32" i="20"/>
  <c r="C31" i="20"/>
  <c r="C30" i="20"/>
  <c r="C29" i="20"/>
  <c r="C28" i="20"/>
  <c r="C27" i="20"/>
  <c r="L11" i="20"/>
  <c r="M11" i="20" s="1"/>
  <c r="K11" i="20"/>
  <c r="K10" i="20"/>
  <c r="J10" i="20"/>
  <c r="E27" i="21" a="1"/>
  <c r="U32" i="21" a="1"/>
  <c r="S32" i="21" a="1"/>
  <c r="Q32" i="21" a="1"/>
  <c r="O32" i="21" a="1"/>
  <c r="M32" i="21" a="1"/>
  <c r="K32" i="21" a="1"/>
  <c r="E27" i="20" a="1"/>
  <c r="E32" i="21" a="1"/>
  <c r="T32" i="21" a="1"/>
  <c r="R32" i="21" a="1"/>
  <c r="P32" i="21" a="1"/>
  <c r="N32" i="21" a="1"/>
  <c r="L32" i="21" a="1"/>
  <c r="J32" i="21" a="1"/>
  <c r="T31" i="21" a="1"/>
  <c r="Q31" i="21" a="1"/>
  <c r="L31" i="21" a="1"/>
  <c r="R30" i="21" a="1"/>
  <c r="O30" i="21" a="1"/>
  <c r="J30" i="21" a="1"/>
  <c r="U29" i="21" a="1"/>
  <c r="P29" i="21" a="1"/>
  <c r="M29" i="21" a="1"/>
  <c r="S28" i="21" a="1"/>
  <c r="N28" i="21" a="1"/>
  <c r="K28" i="21" a="1"/>
  <c r="E28" i="21" a="1"/>
  <c r="T27" i="21" a="1"/>
  <c r="Q27" i="21" a="1"/>
  <c r="L27" i="21" a="1"/>
  <c r="E32" i="20" a="1"/>
  <c r="S31" i="21" a="1"/>
  <c r="N31" i="21" a="1"/>
  <c r="K31" i="21" a="1"/>
  <c r="E31" i="21" a="1"/>
  <c r="T30" i="21" a="1"/>
  <c r="Q30" i="21" a="1"/>
  <c r="L30" i="21" a="1"/>
  <c r="R29" i="21" a="1"/>
  <c r="O29" i="21" a="1"/>
  <c r="J29" i="21" a="1"/>
  <c r="U28" i="21" a="1"/>
  <c r="P28" i="21" a="1"/>
  <c r="M28" i="21" a="1"/>
  <c r="S27" i="21" a="1"/>
  <c r="N27" i="21" a="1"/>
  <c r="K27" i="21" a="1"/>
  <c r="U31" i="21" a="1"/>
  <c r="P31" i="21" a="1"/>
  <c r="M31" i="21" a="1"/>
  <c r="S30" i="21" a="1"/>
  <c r="N30" i="21" a="1"/>
  <c r="K30" i="21" a="1"/>
  <c r="E30" i="21" a="1"/>
  <c r="T29" i="21" a="1"/>
  <c r="Q29" i="21" a="1"/>
  <c r="L29" i="21" a="1"/>
  <c r="R28" i="21" a="1"/>
  <c r="O28" i="21" a="1"/>
  <c r="J28" i="21" a="1"/>
  <c r="U27" i="21" a="1"/>
  <c r="P27" i="21" a="1"/>
  <c r="M27" i="21" a="1"/>
  <c r="R31" i="21" a="1"/>
  <c r="O31" i="21" a="1"/>
  <c r="J31" i="21" a="1"/>
  <c r="U30" i="21" a="1"/>
  <c r="P30" i="21" a="1"/>
  <c r="M30" i="21" a="1"/>
  <c r="S29" i="21" a="1"/>
  <c r="N29" i="21" a="1"/>
  <c r="K29" i="21" a="1"/>
  <c r="E29" i="21" a="1"/>
  <c r="T28" i="21" a="1"/>
  <c r="Q28" i="21" a="1"/>
  <c r="L28" i="21" a="1"/>
  <c r="R27" i="21" a="1"/>
  <c r="O27" i="21" a="1"/>
  <c r="J27" i="21" a="1"/>
  <c r="S32" i="20" a="1"/>
  <c r="P32" i="20" a="1"/>
  <c r="K32" i="20" a="1"/>
  <c r="T31" i="20" a="1"/>
  <c r="R31" i="20" a="1"/>
  <c r="U32" i="20" a="1"/>
  <c r="R32" i="20" a="1"/>
  <c r="M32" i="20" a="1"/>
  <c r="J32" i="20" a="1"/>
  <c r="T32" i="20" a="1"/>
  <c r="O32" i="20" a="1"/>
  <c r="L32" i="20" a="1"/>
  <c r="U31" i="20" a="1"/>
  <c r="S31" i="20" a="1"/>
  <c r="Q32" i="20" a="1"/>
  <c r="N32" i="20" a="1"/>
  <c r="E31" i="20" a="1"/>
  <c r="E30" i="20" a="1"/>
  <c r="E29" i="20" a="1"/>
  <c r="N31" i="20" a="1"/>
  <c r="J31" i="20" a="1"/>
  <c r="S30" i="20" a="1"/>
  <c r="P30" i="20" a="1"/>
  <c r="K30" i="20" a="1"/>
  <c r="Q29" i="20" a="1"/>
  <c r="N29" i="20" a="1"/>
  <c r="E28" i="20" a="1"/>
  <c r="K29" i="20" a="1"/>
  <c r="R28" i="20" a="1"/>
  <c r="Q31" i="20" a="1"/>
  <c r="M31" i="20" a="1"/>
  <c r="U30" i="20" a="1"/>
  <c r="R30" i="20" a="1"/>
  <c r="M30" i="20" a="1"/>
  <c r="J30" i="20" a="1"/>
  <c r="S29" i="20" a="1"/>
  <c r="P29" i="20" a="1"/>
  <c r="T28" i="20" a="1"/>
  <c r="P31" i="20" a="1"/>
  <c r="L31" i="20" a="1"/>
  <c r="T30" i="20" a="1"/>
  <c r="O30" i="20" a="1"/>
  <c r="L30" i="20" a="1"/>
  <c r="U29" i="20" a="1"/>
  <c r="R29" i="20" a="1"/>
  <c r="M29" i="20" a="1"/>
  <c r="J29" i="20" a="1"/>
  <c r="O31" i="20" a="1"/>
  <c r="K31" i="20" a="1"/>
  <c r="Q30" i="20" a="1"/>
  <c r="N30" i="20" a="1"/>
  <c r="T29" i="20" a="1"/>
  <c r="O29" i="20" a="1"/>
  <c r="L29" i="20" a="1"/>
  <c r="U28" i="20" a="1"/>
  <c r="S28" i="20" a="1"/>
  <c r="Q28" i="20" a="1"/>
  <c r="M28" i="20" a="1"/>
  <c r="S27" i="20" a="1"/>
  <c r="O27" i="20" a="1"/>
  <c r="K27" i="20" a="1"/>
  <c r="P28" i="20" a="1"/>
  <c r="L28" i="20" a="1"/>
  <c r="R27" i="20" a="1"/>
  <c r="N27" i="20" a="1"/>
  <c r="J27" i="20" a="1"/>
  <c r="O28" i="20" a="1"/>
  <c r="K28" i="20" a="1"/>
  <c r="U27" i="20" a="1"/>
  <c r="Q27" i="20" a="1"/>
  <c r="M27" i="20" a="1"/>
  <c r="N28" i="20" a="1"/>
  <c r="J28" i="20" a="1"/>
  <c r="T27" i="20" a="1"/>
  <c r="P27" i="20" a="1"/>
  <c r="L27" i="20" a="1"/>
  <c r="L27" i="20" l="1"/>
  <c r="P27" i="20"/>
  <c r="T27" i="20"/>
  <c r="J28" i="20"/>
  <c r="N28" i="20"/>
  <c r="M27" i="20"/>
  <c r="Q27" i="20"/>
  <c r="U27" i="20"/>
  <c r="K28" i="20"/>
  <c r="O28" i="20"/>
  <c r="J27" i="20"/>
  <c r="N27" i="20"/>
  <c r="R27" i="20"/>
  <c r="L28" i="20"/>
  <c r="P28" i="20"/>
  <c r="K27" i="20"/>
  <c r="O27" i="20"/>
  <c r="S27" i="20"/>
  <c r="M28" i="20"/>
  <c r="Q28" i="20"/>
  <c r="S28" i="20"/>
  <c r="U28" i="20"/>
  <c r="L29" i="20"/>
  <c r="O29" i="20"/>
  <c r="T29" i="20"/>
  <c r="N30" i="20"/>
  <c r="Q30" i="20"/>
  <c r="K31" i="20"/>
  <c r="O31" i="20"/>
  <c r="J29" i="20"/>
  <c r="M29" i="20"/>
  <c r="R29" i="20"/>
  <c r="U29" i="20"/>
  <c r="L30" i="20"/>
  <c r="O30" i="20"/>
  <c r="T30" i="20"/>
  <c r="L31" i="20"/>
  <c r="P31" i="20"/>
  <c r="T28" i="20"/>
  <c r="P29" i="20"/>
  <c r="S29" i="20"/>
  <c r="J30" i="20"/>
  <c r="M30" i="20"/>
  <c r="R30" i="20"/>
  <c r="U30" i="20"/>
  <c r="M31" i="20"/>
  <c r="Q31" i="20"/>
  <c r="R28" i="20"/>
  <c r="K29" i="20"/>
  <c r="E28" i="20"/>
  <c r="G28" i="20" s="1"/>
  <c r="N29" i="20"/>
  <c r="Q29" i="20"/>
  <c r="K30" i="20"/>
  <c r="P30" i="20"/>
  <c r="S30" i="20"/>
  <c r="J31" i="20"/>
  <c r="N31" i="20"/>
  <c r="E29" i="20"/>
  <c r="G29" i="20" s="1"/>
  <c r="E30" i="20"/>
  <c r="G30" i="20" s="1"/>
  <c r="E31" i="20"/>
  <c r="G31" i="20" s="1"/>
  <c r="N32" i="20"/>
  <c r="Q32" i="20"/>
  <c r="S31" i="20"/>
  <c r="U31" i="20"/>
  <c r="L32" i="20"/>
  <c r="O32" i="20"/>
  <c r="T32" i="20"/>
  <c r="J32" i="20"/>
  <c r="M32" i="20"/>
  <c r="R32" i="20"/>
  <c r="U32" i="20"/>
  <c r="R31" i="20"/>
  <c r="T31" i="20"/>
  <c r="K32" i="20"/>
  <c r="P32" i="20"/>
  <c r="S32" i="20"/>
  <c r="J27" i="21"/>
  <c r="O27" i="21"/>
  <c r="R27" i="21"/>
  <c r="L28" i="21"/>
  <c r="Q28" i="21"/>
  <c r="T28" i="21"/>
  <c r="E29" i="21"/>
  <c r="G29" i="21" s="1"/>
  <c r="K29" i="21"/>
  <c r="N29" i="21"/>
  <c r="S29" i="21"/>
  <c r="M30" i="21"/>
  <c r="P30" i="21"/>
  <c r="U30" i="21"/>
  <c r="J31" i="21"/>
  <c r="O31" i="21"/>
  <c r="R31" i="21"/>
  <c r="M27" i="21"/>
  <c r="P27" i="21"/>
  <c r="U27" i="21"/>
  <c r="J28" i="21"/>
  <c r="O28" i="21"/>
  <c r="R28" i="21"/>
  <c r="L29" i="21"/>
  <c r="Q29" i="21"/>
  <c r="T29" i="21"/>
  <c r="E30" i="21"/>
  <c r="G30" i="21" s="1"/>
  <c r="K30" i="21"/>
  <c r="N30" i="21"/>
  <c r="S30" i="21"/>
  <c r="M31" i="21"/>
  <c r="P31" i="21"/>
  <c r="U31" i="21"/>
  <c r="K27" i="21"/>
  <c r="N27" i="21"/>
  <c r="S27" i="21"/>
  <c r="M28" i="21"/>
  <c r="P28" i="21"/>
  <c r="U28" i="21"/>
  <c r="J29" i="21"/>
  <c r="O29" i="21"/>
  <c r="R29" i="21"/>
  <c r="L30" i="21"/>
  <c r="Q30" i="21"/>
  <c r="T30" i="21"/>
  <c r="E31" i="21"/>
  <c r="G31" i="21" s="1"/>
  <c r="K31" i="21"/>
  <c r="N31" i="21"/>
  <c r="S31" i="21"/>
  <c r="E32" i="20"/>
  <c r="G32" i="20" s="1"/>
  <c r="L27" i="21"/>
  <c r="Q27" i="21"/>
  <c r="T27" i="21"/>
  <c r="E28" i="21"/>
  <c r="G28" i="21" s="1"/>
  <c r="K28" i="21"/>
  <c r="N28" i="21"/>
  <c r="S28" i="21"/>
  <c r="M29" i="21"/>
  <c r="P29" i="21"/>
  <c r="U29" i="21"/>
  <c r="J30" i="21"/>
  <c r="O30" i="21"/>
  <c r="R30" i="21"/>
  <c r="L31" i="21"/>
  <c r="Q31" i="21"/>
  <c r="T31" i="21"/>
  <c r="J32" i="21"/>
  <c r="L32" i="21"/>
  <c r="N32" i="21"/>
  <c r="P32" i="21"/>
  <c r="R32" i="21"/>
  <c r="T32" i="21"/>
  <c r="E32" i="21"/>
  <c r="G32" i="21" s="1"/>
  <c r="E27" i="20"/>
  <c r="G27" i="20" s="1"/>
  <c r="K32" i="21"/>
  <c r="M32" i="21"/>
  <c r="O32" i="21"/>
  <c r="Q32" i="21"/>
  <c r="S32" i="21"/>
  <c r="U32" i="21"/>
  <c r="E27" i="21"/>
  <c r="G27" i="21" s="1"/>
  <c r="N11" i="20"/>
  <c r="M10" i="20"/>
  <c r="L10" i="20"/>
  <c r="N11" i="21"/>
  <c r="AW35" i="8"/>
  <c r="AX39" i="8"/>
  <c r="AS21" i="8"/>
  <c r="AT31" i="8"/>
  <c r="AC27" i="8"/>
  <c r="AW29" i="8"/>
  <c r="AX33" i="8"/>
  <c r="AW40" i="8"/>
  <c r="AK44" i="8"/>
  <c r="AC15" i="8"/>
  <c r="AW31" i="8"/>
  <c r="AX35" i="8"/>
  <c r="AW44" i="8"/>
  <c r="AL17" i="8"/>
  <c r="AC19" i="8"/>
  <c r="M20" i="8"/>
  <c r="AC36" i="8"/>
  <c r="N28" i="8"/>
  <c r="AL28" i="8"/>
  <c r="U44" i="8"/>
  <c r="AH14" i="8"/>
  <c r="F29" i="8"/>
  <c r="U37" i="8"/>
  <c r="E42" i="8"/>
  <c r="AD40" i="8"/>
  <c r="F32" i="8"/>
  <c r="AL19" i="8"/>
  <c r="J32" i="8"/>
  <c r="R17" i="8"/>
  <c r="AC29" i="8"/>
  <c r="M25" i="8"/>
  <c r="N25" i="8"/>
  <c r="AS44" i="8"/>
  <c r="AO18" i="8"/>
  <c r="AL39" i="8"/>
  <c r="AP21" i="8"/>
  <c r="AO26" i="8"/>
  <c r="AX42" i="8"/>
  <c r="AP32" i="8"/>
  <c r="Y37" i="8"/>
  <c r="AP15" i="8"/>
  <c r="AO20" i="8"/>
  <c r="AL43" i="8"/>
  <c r="AP20" i="8"/>
  <c r="Y31" i="8"/>
  <c r="AP17" i="8"/>
  <c r="AO22" i="8"/>
  <c r="AX24" i="8"/>
  <c r="AP24" i="8"/>
  <c r="Y33" i="8"/>
  <c r="J36" i="8"/>
  <c r="Z41" i="8"/>
  <c r="I14" i="8"/>
  <c r="AP34" i="8"/>
  <c r="J30" i="8"/>
  <c r="R15" i="8"/>
  <c r="AP29" i="8"/>
  <c r="AO34" i="8"/>
  <c r="AO25" i="8"/>
  <c r="AL21" i="8"/>
  <c r="Z14" i="8"/>
  <c r="AP23" i="8"/>
  <c r="AO28" i="8"/>
  <c r="AT19" i="8"/>
  <c r="AP36" i="8"/>
  <c r="Y39" i="8"/>
  <c r="AP25" i="8"/>
  <c r="AO30" i="8"/>
  <c r="AT35" i="8"/>
  <c r="AP40" i="8"/>
  <c r="Y41" i="8"/>
  <c r="J14" i="8"/>
  <c r="V18" i="8"/>
  <c r="F23" i="8"/>
  <c r="AT43" i="8"/>
  <c r="I41" i="8"/>
  <c r="AH39" i="8"/>
  <c r="AO27" i="8"/>
  <c r="AW16" i="8"/>
  <c r="AG18" i="8"/>
  <c r="AG42" i="8"/>
  <c r="AD43" i="8"/>
  <c r="E26" i="8"/>
  <c r="R44" i="8"/>
  <c r="AP35" i="8"/>
  <c r="M42" i="8"/>
  <c r="N18" i="8"/>
  <c r="U31" i="8"/>
  <c r="V23" i="8"/>
  <c r="Z20" i="8"/>
  <c r="AS42" i="8"/>
  <c r="Y27" i="8"/>
  <c r="AC44" i="8"/>
  <c r="J43" i="8"/>
  <c r="U25" i="8"/>
  <c r="E30" i="8"/>
  <c r="F38" i="8"/>
  <c r="AL20" i="8"/>
  <c r="U36" i="8"/>
  <c r="AD42" i="8"/>
  <c r="F27" i="8"/>
  <c r="U35" i="8"/>
  <c r="E40" i="8"/>
  <c r="AC43" i="8"/>
  <c r="AO17" i="8"/>
  <c r="AS29" i="8"/>
  <c r="AD22" i="8"/>
  <c r="Z23" i="8"/>
  <c r="Y20" i="8"/>
  <c r="E34" i="8"/>
  <c r="F16" i="8"/>
  <c r="AL36" i="8"/>
  <c r="J22" i="8"/>
  <c r="N40" i="8"/>
  <c r="U39" i="8"/>
  <c r="R24" i="8"/>
  <c r="V29" i="8"/>
  <c r="AP43" i="8"/>
  <c r="U28" i="8"/>
  <c r="AD34" i="8"/>
  <c r="F25" i="8"/>
  <c r="U33" i="8"/>
  <c r="E38" i="8"/>
  <c r="AC38" i="8"/>
  <c r="AX21" i="8"/>
  <c r="Q33" i="8"/>
  <c r="Z21" i="8"/>
  <c r="AP37" i="8"/>
  <c r="AO42" i="8"/>
  <c r="AK38" i="8"/>
  <c r="AL37" i="8"/>
  <c r="U22" i="8"/>
  <c r="AP31" i="8"/>
  <c r="AO36" i="8"/>
  <c r="AO37" i="8"/>
  <c r="AL25" i="8"/>
  <c r="U16" i="8"/>
  <c r="AP33" i="8"/>
  <c r="AO38" i="8"/>
  <c r="AK18" i="8"/>
  <c r="AL29" i="8"/>
  <c r="U18" i="8"/>
  <c r="E23" i="8"/>
  <c r="V26" i="8"/>
  <c r="F31" i="8"/>
  <c r="AT33" i="8"/>
  <c r="E21" i="8"/>
  <c r="R37" i="8"/>
  <c r="AD27" i="8"/>
  <c r="M39" i="8"/>
  <c r="F20" i="8"/>
  <c r="Z44" i="8"/>
  <c r="AS34" i="8"/>
  <c r="Y19" i="8"/>
  <c r="AC40" i="8"/>
  <c r="J41" i="8"/>
  <c r="U23" i="8"/>
  <c r="E28" i="8"/>
  <c r="J44" i="8"/>
  <c r="AX15" i="8"/>
  <c r="AW20" i="8"/>
  <c r="AW19" i="8"/>
  <c r="AX23" i="8"/>
  <c r="AW28" i="8"/>
  <c r="AK24" i="8"/>
  <c r="AG25" i="8"/>
  <c r="Q39" i="8"/>
  <c r="AX17" i="8"/>
  <c r="AW22" i="8"/>
  <c r="AO43" i="8"/>
  <c r="AH43" i="8"/>
  <c r="AW15" i="8"/>
  <c r="AX19" i="8"/>
  <c r="AW24" i="8"/>
  <c r="AK16" i="8"/>
  <c r="AG17" i="8"/>
  <c r="Q35" i="8"/>
  <c r="AG34" i="8"/>
  <c r="R43" i="8"/>
  <c r="AS26" i="8"/>
  <c r="AD41" i="8"/>
  <c r="AC32" i="8"/>
  <c r="AW27" i="8"/>
  <c r="AX31" i="8"/>
  <c r="AW36" i="8"/>
  <c r="AK40" i="8"/>
  <c r="AG41" i="8"/>
  <c r="AW21" i="8"/>
  <c r="AX25" i="8"/>
  <c r="AX18" i="8"/>
  <c r="AK28" i="8"/>
  <c r="AG29" i="8"/>
  <c r="AW23" i="8"/>
  <c r="AX27" i="8"/>
  <c r="AX26" i="8"/>
  <c r="AK32" i="8"/>
  <c r="AG33" i="8"/>
  <c r="Q43" i="8"/>
  <c r="AC20" i="8"/>
  <c r="N20" i="8"/>
  <c r="AP27" i="8"/>
  <c r="Y43" i="8"/>
  <c r="AD26" i="8"/>
  <c r="AL40" i="8"/>
  <c r="Q25" i="8"/>
  <c r="AH31" i="8"/>
  <c r="AW25" i="8"/>
  <c r="I39" i="8"/>
  <c r="Q30" i="8"/>
  <c r="AG16" i="8"/>
  <c r="F18" i="8"/>
  <c r="AX30" i="8"/>
  <c r="AD30" i="8"/>
  <c r="AG27" i="8"/>
  <c r="J17" i="8"/>
  <c r="AC22" i="8"/>
  <c r="AC42" i="8"/>
  <c r="AL35" i="8"/>
  <c r="J34" i="8"/>
  <c r="R21" i="8"/>
  <c r="AC33" i="8"/>
  <c r="M27" i="8"/>
  <c r="N33" i="8"/>
  <c r="I16" i="8"/>
  <c r="AT17" i="8"/>
  <c r="E19" i="8"/>
  <c r="R33" i="8"/>
  <c r="AD23" i="8"/>
  <c r="M37" i="8"/>
  <c r="AD24" i="8"/>
  <c r="AX41" i="8"/>
  <c r="AW39" i="8"/>
  <c r="AC35" i="8"/>
  <c r="AX29" i="8"/>
  <c r="F19" i="8"/>
  <c r="M15" i="8"/>
  <c r="AD20" i="8"/>
  <c r="F34" i="8"/>
  <c r="AL33" i="8"/>
  <c r="Z15" i="8"/>
  <c r="AG43" i="8"/>
  <c r="J33" i="8"/>
  <c r="Z18" i="8"/>
  <c r="N23" i="8"/>
  <c r="AX32" i="8"/>
  <c r="E17" i="8"/>
  <c r="R31" i="8"/>
  <c r="AD19" i="8"/>
  <c r="M35" i="8"/>
  <c r="I34" i="8"/>
  <c r="R36" i="8"/>
  <c r="AK20" i="8"/>
  <c r="E29" i="8"/>
  <c r="Q14" i="8"/>
  <c r="AL38" i="8"/>
  <c r="AK43" i="8"/>
  <c r="AO23" i="8"/>
  <c r="AH23" i="8"/>
  <c r="Q23" i="8"/>
  <c r="AL32" i="8"/>
  <c r="AK37" i="8"/>
  <c r="AT41" i="8"/>
  <c r="AK42" i="8"/>
  <c r="Q17" i="8"/>
  <c r="AL34" i="8"/>
  <c r="AK39" i="8"/>
  <c r="AO15" i="8"/>
  <c r="AH15" i="8"/>
  <c r="Q19" i="8"/>
  <c r="AH32" i="8"/>
  <c r="R27" i="8"/>
  <c r="AH37" i="8"/>
  <c r="AP14" i="8"/>
  <c r="AG22" i="8"/>
  <c r="I17" i="8"/>
  <c r="Y36" i="8"/>
  <c r="I40" i="8"/>
  <c r="V33" i="8"/>
  <c r="E14" i="8"/>
  <c r="AT38" i="8"/>
  <c r="M22" i="8"/>
  <c r="Z37" i="8"/>
  <c r="AH17" i="8"/>
  <c r="Q24" i="8"/>
  <c r="AC30" i="8"/>
  <c r="AW43" i="8"/>
  <c r="AT16" i="8"/>
  <c r="AS37" i="8"/>
  <c r="AS20" i="8"/>
  <c r="AT24" i="8"/>
  <c r="AP22" i="8"/>
  <c r="AW30" i="8"/>
  <c r="AD29" i="8"/>
  <c r="AX14" i="8"/>
  <c r="AT18" i="8"/>
  <c r="AS41" i="8"/>
  <c r="AK34" i="8"/>
  <c r="AD17" i="8"/>
  <c r="AS16" i="8"/>
  <c r="AT20" i="8"/>
  <c r="AT14" i="8"/>
  <c r="AW14" i="8"/>
  <c r="AD21" i="8"/>
  <c r="M36" i="8"/>
  <c r="AD38" i="8"/>
  <c r="N44" i="8"/>
  <c r="AT30" i="8"/>
  <c r="M18" i="8"/>
  <c r="Z35" i="8"/>
  <c r="AS28" i="8"/>
  <c r="AT32" i="8"/>
  <c r="AP38" i="8"/>
  <c r="AS15" i="8"/>
  <c r="AG14" i="8"/>
  <c r="AS22" i="8"/>
  <c r="AT26" i="8"/>
  <c r="AP26" i="8"/>
  <c r="AW34" i="8"/>
  <c r="AD33" i="8"/>
  <c r="AS24" i="8"/>
  <c r="AT28" i="8"/>
  <c r="AP30" i="8"/>
  <c r="AW38" i="8"/>
  <c r="AD37" i="8"/>
  <c r="M44" i="8"/>
  <c r="Z17" i="8"/>
  <c r="I21" i="8"/>
  <c r="AO32" i="8"/>
  <c r="M30" i="8"/>
  <c r="AO39" i="8"/>
  <c r="AL14" i="8"/>
  <c r="AL42" i="8"/>
  <c r="Q27" i="8"/>
  <c r="AG37" i="8"/>
  <c r="AH33" i="8"/>
  <c r="J15" i="8"/>
  <c r="I28" i="8"/>
  <c r="I20" i="8"/>
  <c r="U20" i="8"/>
  <c r="V28" i="8"/>
  <c r="AD14" i="8"/>
  <c r="E36" i="8"/>
  <c r="N21" i="8"/>
  <c r="I38" i="8"/>
  <c r="AS43" i="8"/>
  <c r="AH20" i="8"/>
  <c r="N32" i="8"/>
  <c r="Y24" i="8"/>
  <c r="J27" i="8"/>
  <c r="Z16" i="8"/>
  <c r="F30" i="8"/>
  <c r="AT27" i="8"/>
  <c r="AH44" i="8"/>
  <c r="J39" i="8"/>
  <c r="Y34" i="8"/>
  <c r="J37" i="8"/>
  <c r="AK22" i="8"/>
  <c r="AS25" i="8"/>
  <c r="AX43" i="8"/>
  <c r="M28" i="8"/>
  <c r="Q37" i="8"/>
  <c r="AG39" i="8"/>
  <c r="J23" i="8"/>
  <c r="AG36" i="8"/>
  <c r="Z36" i="8"/>
  <c r="Q21" i="8"/>
  <c r="V38" i="8"/>
  <c r="Y30" i="8"/>
  <c r="E44" i="8"/>
  <c r="I22" i="8"/>
  <c r="U14" i="8"/>
  <c r="AX16" i="8"/>
  <c r="AH40" i="8"/>
  <c r="N42" i="8"/>
  <c r="Y32" i="8"/>
  <c r="J35" i="8"/>
  <c r="V17" i="8"/>
  <c r="AW17" i="8"/>
  <c r="AG21" i="8"/>
  <c r="AG38" i="8"/>
  <c r="AT40" i="8"/>
  <c r="AS30" i="8"/>
  <c r="Y15" i="8"/>
  <c r="AS23" i="8"/>
  <c r="I29" i="8"/>
  <c r="AG23" i="8"/>
  <c r="N37" i="8"/>
  <c r="Y22" i="8"/>
  <c r="AK19" i="8"/>
  <c r="AT21" i="8"/>
  <c r="AK21" i="8"/>
  <c r="AL18" i="8"/>
  <c r="U34" i="8"/>
  <c r="AW42" i="8"/>
  <c r="AK35" i="8"/>
  <c r="AL24" i="8"/>
  <c r="U40" i="8"/>
  <c r="AO33" i="8"/>
  <c r="AH21" i="8"/>
  <c r="AH27" i="8"/>
  <c r="U21" i="8"/>
  <c r="E35" i="8"/>
  <c r="N43" i="8"/>
  <c r="AH25" i="8"/>
  <c r="AK25" i="8"/>
  <c r="Q36" i="8"/>
  <c r="AO29" i="8"/>
  <c r="R16" i="8"/>
  <c r="F33" i="8"/>
  <c r="AK17" i="8"/>
  <c r="Q34" i="8"/>
  <c r="J16" i="8"/>
  <c r="AG35" i="8"/>
  <c r="Q44" i="8"/>
  <c r="V39" i="8"/>
  <c r="AD32" i="8"/>
  <c r="Y29" i="8"/>
  <c r="AS35" i="8"/>
  <c r="AL31" i="8"/>
  <c r="Z33" i="8"/>
  <c r="Y14" i="8"/>
  <c r="Y28" i="8"/>
  <c r="AH26" i="8"/>
  <c r="AG40" i="8"/>
  <c r="AX37" i="8"/>
  <c r="I43" i="8"/>
  <c r="I19" i="8"/>
  <c r="Q16" i="8"/>
  <c r="I26" i="8"/>
  <c r="R38" i="8"/>
  <c r="AL44" i="8"/>
  <c r="Q29" i="8"/>
  <c r="Z19" i="8"/>
  <c r="F35" i="8"/>
  <c r="U41" i="8"/>
  <c r="F14" i="8"/>
  <c r="Z26" i="8"/>
  <c r="AT22" i="8"/>
  <c r="M16" i="8"/>
  <c r="Z31" i="8"/>
  <c r="AH30" i="8"/>
  <c r="Q20" i="8"/>
  <c r="AG28" i="8"/>
  <c r="F40" i="8"/>
  <c r="AX38" i="8"/>
  <c r="AX20" i="8"/>
  <c r="AK15" i="8"/>
  <c r="E31" i="8"/>
  <c r="E33" i="8"/>
  <c r="AC41" i="8"/>
  <c r="E18" i="8"/>
  <c r="V43" i="8"/>
  <c r="AW33" i="8"/>
  <c r="M32" i="8"/>
  <c r="R39" i="8"/>
  <c r="U15" i="8"/>
  <c r="Z22" i="8"/>
  <c r="AC26" i="8"/>
  <c r="AW41" i="8"/>
  <c r="AC39" i="8"/>
  <c r="AC24" i="8"/>
  <c r="I33" i="8"/>
  <c r="U17" i="8"/>
  <c r="E22" i="8"/>
  <c r="N19" i="8"/>
  <c r="AP19" i="8"/>
  <c r="Y35" i="8"/>
  <c r="AD18" i="8"/>
  <c r="F17" i="8"/>
  <c r="U27" i="8"/>
  <c r="N41" i="8"/>
  <c r="Q18" i="8"/>
  <c r="V27" i="8"/>
  <c r="M26" i="8"/>
  <c r="AH29" i="8"/>
  <c r="AL23" i="8"/>
  <c r="AT34" i="8"/>
  <c r="AS32" i="8"/>
  <c r="Y17" i="8"/>
  <c r="AK33" i="8"/>
  <c r="Q38" i="8"/>
  <c r="AS27" i="8"/>
  <c r="J25" i="8"/>
  <c r="AX36" i="8"/>
  <c r="AT39" i="8"/>
  <c r="AX40" i="8"/>
  <c r="AK23" i="8"/>
  <c r="E39" i="8"/>
  <c r="E43" i="8"/>
  <c r="AT37" i="8"/>
  <c r="AK29" i="8"/>
  <c r="AL26" i="8"/>
  <c r="U42" i="8"/>
  <c r="AP44" i="8"/>
  <c r="AO31" i="8"/>
  <c r="AC14" i="8"/>
  <c r="F21" i="8"/>
  <c r="AO16" i="8"/>
  <c r="Q26" i="8"/>
  <c r="M38" i="8"/>
  <c r="Z38" i="8"/>
  <c r="N36" i="8"/>
  <c r="I24" i="8"/>
  <c r="M17" i="8"/>
  <c r="M34" i="8"/>
  <c r="Z30" i="8"/>
  <c r="V32" i="8"/>
  <c r="AD39" i="8"/>
  <c r="N14" i="8"/>
  <c r="F44" i="8"/>
  <c r="Z24" i="8"/>
  <c r="AS38" i="8"/>
  <c r="Y23" i="8"/>
  <c r="AS39" i="8"/>
  <c r="I37" i="8"/>
  <c r="N38" i="8"/>
  <c r="V14" i="8"/>
  <c r="N17" i="8"/>
  <c r="N27" i="8"/>
  <c r="AK26" i="8"/>
  <c r="AG26" i="8"/>
  <c r="F43" i="8"/>
  <c r="M33" i="8"/>
  <c r="V41" i="8"/>
  <c r="N31" i="8"/>
  <c r="AW18" i="8"/>
  <c r="I15" i="8"/>
  <c r="V30" i="8"/>
  <c r="AG31" i="8"/>
  <c r="Q42" i="8"/>
  <c r="V31" i="8"/>
  <c r="Z28" i="8"/>
  <c r="AP18" i="8"/>
  <c r="J26" i="8"/>
  <c r="V44" i="8"/>
  <c r="AC21" i="8"/>
  <c r="M21" i="8"/>
  <c r="R40" i="8"/>
  <c r="E32" i="8"/>
  <c r="U30" i="8"/>
  <c r="AL41" i="8"/>
  <c r="AX28" i="8"/>
  <c r="V34" i="8"/>
  <c r="V36" i="8"/>
  <c r="Y44" i="8"/>
  <c r="AG44" i="8"/>
  <c r="AD44" i="8"/>
  <c r="AO40" i="8"/>
  <c r="E25" i="8"/>
  <c r="I31" i="8"/>
  <c r="Q32" i="8"/>
  <c r="F28" i="8"/>
  <c r="J40" i="8"/>
  <c r="AS14" i="8"/>
  <c r="R14" i="8"/>
  <c r="Z29" i="8"/>
  <c r="E15" i="8"/>
  <c r="AH42" i="8"/>
  <c r="AO24" i="8"/>
  <c r="Z43" i="8"/>
  <c r="Q28" i="8"/>
  <c r="AS31" i="8"/>
  <c r="AP42" i="8"/>
  <c r="AT36" i="8"/>
  <c r="J20" i="8"/>
  <c r="M40" i="8"/>
  <c r="V15" i="8"/>
  <c r="F15" i="8"/>
  <c r="AD36" i="8"/>
  <c r="AL22" i="8"/>
  <c r="U38" i="8"/>
  <c r="AT15" i="8"/>
  <c r="AX44" i="8"/>
  <c r="V42" i="8"/>
  <c r="N26" i="8"/>
  <c r="AK30" i="8"/>
  <c r="AT25" i="8"/>
  <c r="AK31" i="8"/>
  <c r="AH16" i="8"/>
  <c r="AH28" i="8"/>
  <c r="R35" i="8"/>
  <c r="R30" i="8"/>
  <c r="Q40" i="8"/>
  <c r="M24" i="8"/>
  <c r="AD16" i="8"/>
  <c r="V22" i="8"/>
  <c r="AW37" i="8"/>
  <c r="N16" i="8"/>
  <c r="AS17" i="8"/>
  <c r="Z40" i="8"/>
  <c r="V20" i="8"/>
  <c r="I30" i="8"/>
  <c r="I25" i="8"/>
  <c r="Y42" i="8"/>
  <c r="E16" i="8"/>
  <c r="R26" i="8"/>
  <c r="V25" i="8"/>
  <c r="AT42" i="8"/>
  <c r="AS40" i="8"/>
  <c r="Y25" i="8"/>
  <c r="AW32" i="8"/>
  <c r="F41" i="8"/>
  <c r="M23" i="8"/>
  <c r="Z32" i="8"/>
  <c r="V37" i="8"/>
  <c r="AH19" i="8"/>
  <c r="Z27" i="8"/>
  <c r="AD15" i="8"/>
  <c r="I42" i="8"/>
  <c r="V19" i="8"/>
  <c r="V21" i="8"/>
  <c r="AO35" i="8"/>
  <c r="E27" i="8"/>
  <c r="R41" i="8"/>
  <c r="AD35" i="8"/>
  <c r="M43" i="8"/>
  <c r="F36" i="8"/>
  <c r="AD28" i="8"/>
  <c r="AX22" i="8"/>
  <c r="E41" i="8"/>
  <c r="N24" i="8"/>
  <c r="Y18" i="8"/>
  <c r="J21" i="8"/>
  <c r="AC34" i="8"/>
  <c r="AG20" i="8"/>
  <c r="AP39" i="8"/>
  <c r="U24" i="8"/>
  <c r="AK14" i="8"/>
  <c r="F39" i="8"/>
  <c r="I27" i="8"/>
  <c r="Q22" i="8"/>
  <c r="I18" i="8"/>
  <c r="N15" i="8"/>
  <c r="AO19" i="8"/>
  <c r="AC16" i="8"/>
  <c r="AH41" i="8"/>
  <c r="M41" i="8"/>
  <c r="R42" i="8"/>
  <c r="N29" i="8"/>
  <c r="AS33" i="8"/>
  <c r="J24" i="8"/>
  <c r="V40" i="8"/>
  <c r="AC17" i="8"/>
  <c r="M19" i="8"/>
  <c r="R32" i="8"/>
  <c r="F26" i="8"/>
  <c r="AX34" i="8"/>
  <c r="J38" i="8"/>
  <c r="R23" i="8"/>
  <c r="AC37" i="8"/>
  <c r="M29" i="8"/>
  <c r="I32" i="8"/>
  <c r="J19" i="8"/>
  <c r="F42" i="8"/>
  <c r="AH24" i="8"/>
  <c r="Y26" i="8"/>
  <c r="N39" i="8"/>
  <c r="AS36" i="8"/>
  <c r="Y21" i="8"/>
  <c r="AS19" i="8"/>
  <c r="AL15" i="8"/>
  <c r="Z25" i="8"/>
  <c r="V24" i="8"/>
  <c r="M14" i="8"/>
  <c r="N30" i="8"/>
  <c r="AO14" i="8"/>
  <c r="AK27" i="8"/>
  <c r="AL16" i="8"/>
  <c r="U32" i="8"/>
  <c r="AT23" i="8"/>
  <c r="AH18" i="8"/>
  <c r="AL30" i="8"/>
  <c r="Q15" i="8"/>
  <c r="AO21" i="8"/>
  <c r="AT29" i="8"/>
  <c r="R19" i="8"/>
  <c r="Q31" i="8"/>
  <c r="R25" i="8"/>
  <c r="AK41" i="8"/>
  <c r="AG32" i="8"/>
  <c r="Z39" i="8"/>
  <c r="R28" i="8"/>
  <c r="AG19" i="8"/>
  <c r="AC31" i="8"/>
  <c r="U29" i="8"/>
  <c r="AH36" i="8"/>
  <c r="AG24" i="8"/>
  <c r="AG15" i="8"/>
  <c r="AW26" i="8"/>
  <c r="F37" i="8"/>
  <c r="U43" i="8"/>
  <c r="AH22" i="8"/>
  <c r="V35" i="8"/>
  <c r="AP16" i="8"/>
  <c r="AL27" i="8"/>
  <c r="AT44" i="8"/>
  <c r="J28" i="8"/>
  <c r="J18" i="8"/>
  <c r="AC25" i="8"/>
  <c r="J31" i="8"/>
  <c r="Z42" i="8"/>
  <c r="F22" i="8"/>
  <c r="Q41" i="8"/>
  <c r="R29" i="8"/>
  <c r="Y38" i="8"/>
  <c r="AH34" i="8"/>
  <c r="F24" i="8"/>
  <c r="R22" i="8"/>
  <c r="AH35" i="8"/>
  <c r="AG30" i="8"/>
  <c r="I23" i="8"/>
  <c r="Y40" i="8"/>
  <c r="I44" i="8"/>
  <c r="R18" i="8"/>
  <c r="AS18" i="8"/>
  <c r="AD25" i="8"/>
  <c r="AC28" i="8"/>
  <c r="I35" i="8"/>
  <c r="U19" i="8"/>
  <c r="E24" i="8"/>
  <c r="N35" i="8"/>
  <c r="J42" i="8"/>
  <c r="AO44" i="8"/>
  <c r="AP41" i="8"/>
  <c r="U26" i="8"/>
  <c r="AK36" i="8"/>
  <c r="AH38" i="8"/>
  <c r="M31" i="8"/>
  <c r="R34" i="8"/>
  <c r="I36" i="8"/>
  <c r="AC23" i="8"/>
  <c r="V16" i="8"/>
  <c r="AD31" i="8"/>
  <c r="E20" i="8"/>
  <c r="R20" i="8"/>
  <c r="Z34" i="8"/>
  <c r="AO41" i="8"/>
  <c r="E37" i="8"/>
  <c r="N22" i="8"/>
  <c r="Y16" i="8"/>
  <c r="AC18" i="8"/>
  <c r="AP28" i="8"/>
  <c r="N34" i="8"/>
  <c r="J29" i="8"/>
  <c r="K32" i="8" l="1"/>
  <c r="O29" i="8"/>
  <c r="S28" i="8"/>
  <c r="W27" i="8"/>
  <c r="AA26" i="8"/>
  <c r="AE37" i="8"/>
  <c r="O26" i="8"/>
  <c r="AA35" i="8"/>
  <c r="AQ24" i="8"/>
  <c r="AE18" i="8"/>
  <c r="G22" i="8"/>
  <c r="O19" i="8"/>
  <c r="S18" i="8"/>
  <c r="W17" i="8"/>
  <c r="AA16" i="8"/>
  <c r="AE17" i="8"/>
  <c r="G15" i="8"/>
  <c r="K33" i="8"/>
  <c r="AE24" i="8"/>
  <c r="G37" i="8"/>
  <c r="AE39" i="8"/>
  <c r="AQ41" i="8"/>
  <c r="AU33" i="8"/>
  <c r="AU14" i="8"/>
  <c r="AY41" i="8"/>
  <c r="AE26" i="8"/>
  <c r="G20" i="8"/>
  <c r="O41" i="8"/>
  <c r="S32" i="8"/>
  <c r="W15" i="8"/>
  <c r="K31" i="8"/>
  <c r="AE16" i="8"/>
  <c r="G25" i="8"/>
  <c r="O32" i="8"/>
  <c r="AE23" i="8"/>
  <c r="AQ19" i="8"/>
  <c r="AQ40" i="8"/>
  <c r="AY33" i="8"/>
  <c r="K36" i="8"/>
  <c r="K18" i="8"/>
  <c r="AI44" i="8"/>
  <c r="G18" i="8"/>
  <c r="O31" i="8"/>
  <c r="S22" i="8"/>
  <c r="AA44" i="8"/>
  <c r="AE41" i="8"/>
  <c r="K27" i="8"/>
  <c r="G33" i="8"/>
  <c r="AM36" i="8"/>
  <c r="G31" i="8"/>
  <c r="W26" i="8"/>
  <c r="AM14" i="8"/>
  <c r="AM15" i="8"/>
  <c r="W24" i="8"/>
  <c r="AQ44" i="8"/>
  <c r="W30" i="8"/>
  <c r="AI20" i="8"/>
  <c r="G32" i="8"/>
  <c r="AE34" i="8"/>
  <c r="AI28" i="8"/>
  <c r="G24" i="8"/>
  <c r="O21" i="8"/>
  <c r="S20" i="8"/>
  <c r="W19" i="8"/>
  <c r="AA18" i="8"/>
  <c r="AE21" i="8"/>
  <c r="K35" i="8"/>
  <c r="AE28" i="8"/>
  <c r="G41" i="8"/>
  <c r="O16" i="8"/>
  <c r="AU18" i="8"/>
  <c r="K44" i="8"/>
  <c r="O43" i="8"/>
  <c r="S42" i="8"/>
  <c r="W41" i="8"/>
  <c r="AA40" i="8"/>
  <c r="AI31" i="8"/>
  <c r="K23" i="8"/>
  <c r="AI30" i="8"/>
  <c r="G27" i="8"/>
  <c r="K15" i="8"/>
  <c r="S29" i="8"/>
  <c r="AQ35" i="8"/>
  <c r="AY18" i="8"/>
  <c r="K26" i="8"/>
  <c r="K42" i="8"/>
  <c r="O33" i="8"/>
  <c r="S16" i="8"/>
  <c r="AA38" i="8"/>
  <c r="K19" i="8"/>
  <c r="AI26" i="8"/>
  <c r="K43" i="8"/>
  <c r="S41" i="8"/>
  <c r="AM26" i="8"/>
  <c r="AI40" i="8"/>
  <c r="O23" i="8"/>
  <c r="AA28" i="8"/>
  <c r="AE25" i="8"/>
  <c r="AA14" i="8"/>
  <c r="AY32" i="8"/>
  <c r="K37" i="8"/>
  <c r="AA25" i="8"/>
  <c r="AU39" i="8"/>
  <c r="AU40" i="8"/>
  <c r="AA23" i="8"/>
  <c r="AU35" i="8"/>
  <c r="AU38" i="8"/>
  <c r="AA29" i="8"/>
  <c r="G16" i="8"/>
  <c r="S44" i="8"/>
  <c r="W43" i="8"/>
  <c r="AA42" i="8"/>
  <c r="AI35" i="8"/>
  <c r="K25" i="8"/>
  <c r="S14" i="8"/>
  <c r="AI38" i="8"/>
  <c r="G29" i="8"/>
  <c r="S33" i="8"/>
  <c r="AI21" i="8"/>
  <c r="AM20" i="8"/>
  <c r="AY26" i="8"/>
  <c r="AY17" i="8"/>
  <c r="K30" i="8"/>
  <c r="AE38" i="8"/>
  <c r="K34" i="8"/>
  <c r="G38" i="8"/>
  <c r="O35" i="8"/>
  <c r="S34" i="8"/>
  <c r="W33" i="8"/>
  <c r="AA32" i="8"/>
  <c r="AI15" i="8"/>
  <c r="G17" i="8"/>
  <c r="O34" i="8"/>
  <c r="W28" i="8"/>
  <c r="AM17" i="8"/>
  <c r="W14" i="8"/>
  <c r="AI24" i="8"/>
  <c r="K22" i="8"/>
  <c r="G44" i="8"/>
  <c r="O17" i="8"/>
  <c r="W39" i="8"/>
  <c r="AA30" i="8"/>
  <c r="AI43" i="8"/>
  <c r="S21" i="8"/>
  <c r="AU17" i="8"/>
  <c r="K24" i="8"/>
  <c r="AI36" i="8"/>
  <c r="G34" i="8"/>
  <c r="O15" i="8"/>
  <c r="W29" i="8"/>
  <c r="AA20" i="8"/>
  <c r="AI39" i="8"/>
  <c r="S37" i="8"/>
  <c r="O28" i="8"/>
  <c r="AE35" i="8"/>
  <c r="AQ29" i="8"/>
  <c r="AU29" i="8"/>
  <c r="AY39" i="8"/>
  <c r="AE31" i="8"/>
  <c r="AQ17" i="8"/>
  <c r="AU25" i="8"/>
  <c r="AY37" i="8"/>
  <c r="AE43" i="8"/>
  <c r="AM22" i="8"/>
  <c r="G40" i="8"/>
  <c r="O37" i="8"/>
  <c r="S36" i="8"/>
  <c r="W35" i="8"/>
  <c r="AA34" i="8"/>
  <c r="AI19" i="8"/>
  <c r="G19" i="8"/>
  <c r="O38" i="8"/>
  <c r="W36" i="8"/>
  <c r="AM25" i="8"/>
  <c r="K16" i="8"/>
  <c r="G30" i="8"/>
  <c r="O27" i="8"/>
  <c r="S26" i="8"/>
  <c r="W25" i="8"/>
  <c r="AA24" i="8"/>
  <c r="AE33" i="8"/>
  <c r="AE44" i="8"/>
  <c r="O24" i="8"/>
  <c r="AA27" i="8"/>
  <c r="AU43" i="8"/>
  <c r="AQ16" i="8"/>
  <c r="AU42" i="8"/>
  <c r="K38" i="8"/>
  <c r="AE42" i="8"/>
  <c r="AE22" i="8"/>
  <c r="AI32" i="8"/>
  <c r="G36" i="8"/>
  <c r="S40" i="8"/>
  <c r="W31" i="8"/>
  <c r="AI27" i="8"/>
  <c r="G35" i="8"/>
  <c r="O42" i="8"/>
  <c r="W20" i="8"/>
  <c r="AM41" i="8"/>
  <c r="K20" i="8"/>
  <c r="K28" i="8"/>
  <c r="AI16" i="8"/>
  <c r="AE14" i="8"/>
  <c r="G26" i="8"/>
  <c r="S30" i="8"/>
  <c r="W21" i="8"/>
  <c r="K39" i="8"/>
  <c r="AI42" i="8"/>
  <c r="AI37" i="8"/>
  <c r="AY25" i="8"/>
  <c r="AI18" i="8"/>
  <c r="S27" i="8"/>
  <c r="AQ31" i="8"/>
  <c r="AY16" i="8"/>
  <c r="S25" i="8"/>
  <c r="AQ27" i="8"/>
  <c r="S31" i="8"/>
  <c r="AQ39" i="8"/>
  <c r="K41" i="8"/>
  <c r="O30" i="8"/>
  <c r="AA43" i="8"/>
  <c r="AQ32" i="8"/>
  <c r="K21" i="8"/>
  <c r="AE20" i="8"/>
  <c r="O44" i="8"/>
  <c r="S43" i="8"/>
  <c r="W42" i="8"/>
  <c r="AA41" i="8"/>
  <c r="AI33" i="8"/>
  <c r="AQ33" i="8"/>
  <c r="AY38" i="8"/>
  <c r="AM32" i="8"/>
  <c r="AM31" i="8"/>
  <c r="AQ30" i="8"/>
  <c r="AU24" i="8"/>
  <c r="AY23" i="8"/>
  <c r="W40" i="8"/>
  <c r="AA39" i="8"/>
  <c r="AI29" i="8"/>
  <c r="AQ21" i="8"/>
  <c r="AY34" i="8"/>
  <c r="AM28" i="8"/>
  <c r="AM29" i="8"/>
  <c r="AQ28" i="8"/>
  <c r="AU22" i="8"/>
  <c r="AY21" i="8"/>
  <c r="S15" i="8"/>
  <c r="AI14" i="8"/>
  <c r="AI41" i="8"/>
  <c r="AM30" i="8"/>
  <c r="AU15" i="8"/>
  <c r="AM40" i="8"/>
  <c r="AQ25" i="8"/>
  <c r="AY36" i="8"/>
  <c r="AM35" i="8"/>
  <c r="AQ34" i="8"/>
  <c r="AU28" i="8"/>
  <c r="AY27" i="8"/>
  <c r="AE32" i="8"/>
  <c r="G43" i="8"/>
  <c r="O18" i="8"/>
  <c r="AY42" i="8"/>
  <c r="AU26" i="8"/>
  <c r="K14" i="8"/>
  <c r="AI34" i="8"/>
  <c r="G39" i="8"/>
  <c r="O36" i="8"/>
  <c r="S35" i="8"/>
  <c r="W34" i="8"/>
  <c r="AA33" i="8"/>
  <c r="AI17" i="8"/>
  <c r="AY14" i="8"/>
  <c r="AM16" i="8"/>
  <c r="AY24" i="8"/>
  <c r="AM23" i="8"/>
  <c r="AQ22" i="8"/>
  <c r="AU16" i="8"/>
  <c r="AY15" i="8"/>
  <c r="W32" i="8"/>
  <c r="AA31" i="8"/>
  <c r="AM34" i="8"/>
  <c r="AQ43" i="8"/>
  <c r="AU41" i="8"/>
  <c r="AY22" i="8"/>
  <c r="AM21" i="8"/>
  <c r="AQ20" i="8"/>
  <c r="S39" i="8"/>
  <c r="W38" i="8"/>
  <c r="AA37" i="8"/>
  <c r="AI25" i="8"/>
  <c r="AY30" i="8"/>
  <c r="AM24" i="8"/>
  <c r="AY28" i="8"/>
  <c r="AM27" i="8"/>
  <c r="AQ26" i="8"/>
  <c r="AU20" i="8"/>
  <c r="AY19" i="8"/>
  <c r="AU37" i="8"/>
  <c r="AY20" i="8"/>
  <c r="AM19" i="8"/>
  <c r="AQ18" i="8"/>
  <c r="AQ14" i="8"/>
  <c r="AU44" i="8"/>
  <c r="AY43" i="8"/>
  <c r="AE30" i="8"/>
  <c r="G28" i="8"/>
  <c r="O25" i="8"/>
  <c r="S24" i="8"/>
  <c r="W23" i="8"/>
  <c r="AA22" i="8"/>
  <c r="AE29" i="8"/>
  <c r="AE40" i="8"/>
  <c r="O22" i="8"/>
  <c r="AA19" i="8"/>
  <c r="AU27" i="8"/>
  <c r="AU34" i="8"/>
  <c r="G14" i="8"/>
  <c r="O14" i="8"/>
  <c r="G42" i="8"/>
  <c r="K40" i="8"/>
  <c r="O39" i="8"/>
  <c r="S38" i="8"/>
  <c r="W37" i="8"/>
  <c r="AA36" i="8"/>
  <c r="AI23" i="8"/>
  <c r="K17" i="8"/>
  <c r="AI22" i="8"/>
  <c r="G21" i="8"/>
  <c r="O40" i="8"/>
  <c r="W44" i="8"/>
  <c r="AM33" i="8"/>
  <c r="K29" i="8"/>
  <c r="AE36" i="8"/>
  <c r="G23" i="8"/>
  <c r="O20" i="8"/>
  <c r="S19" i="8"/>
  <c r="W18" i="8"/>
  <c r="AA17" i="8"/>
  <c r="AE19" i="8"/>
  <c r="AU23" i="8"/>
  <c r="AQ15" i="8"/>
  <c r="AM18" i="8"/>
  <c r="AY44" i="8"/>
  <c r="AM39" i="8"/>
  <c r="AQ38" i="8"/>
  <c r="AU32" i="8"/>
  <c r="AY31" i="8"/>
  <c r="S17" i="8"/>
  <c r="W16" i="8"/>
  <c r="AA15" i="8"/>
  <c r="AE15" i="8"/>
  <c r="AM42" i="8"/>
  <c r="AU19" i="8"/>
  <c r="AM44" i="8"/>
  <c r="AQ37" i="8"/>
  <c r="AY40" i="8"/>
  <c r="AM37" i="8"/>
  <c r="AQ36" i="8"/>
  <c r="AU30" i="8"/>
  <c r="AY29" i="8"/>
  <c r="S23" i="8"/>
  <c r="W22" i="8"/>
  <c r="AA21" i="8"/>
  <c r="AE27" i="8"/>
  <c r="AU31" i="8"/>
  <c r="AQ23" i="8"/>
  <c r="AM38" i="8"/>
  <c r="AU21" i="8"/>
  <c r="AM43" i="8"/>
  <c r="AQ42" i="8"/>
  <c r="AU36" i="8"/>
  <c r="AY35" i="8"/>
  <c r="O11" i="21"/>
  <c r="N10" i="21"/>
  <c r="N10" i="20"/>
  <c r="O11" i="20"/>
  <c r="AL6" i="3" a="1"/>
  <c r="AI45" i="8" l="1"/>
  <c r="G45" i="8"/>
  <c r="AE45" i="8"/>
  <c r="AY45" i="8"/>
  <c r="K45" i="8"/>
  <c r="AA45" i="8"/>
  <c r="AQ45" i="8"/>
  <c r="O45" i="8"/>
  <c r="W45" i="8"/>
  <c r="S45" i="8"/>
  <c r="AM45" i="8"/>
  <c r="AU45" i="8"/>
  <c r="P11" i="20"/>
  <c r="O10" i="20"/>
  <c r="O10" i="21"/>
  <c r="P11" i="21"/>
  <c r="AL6" i="3"/>
  <c r="Q11" i="21" l="1"/>
  <c r="P10" i="21"/>
  <c r="P10" i="20"/>
  <c r="Q11" i="20"/>
  <c r="K33" i="5"/>
  <c r="F33" i="5"/>
  <c r="C32" i="19"/>
  <c r="C31" i="19"/>
  <c r="C30" i="19"/>
  <c r="C29" i="19"/>
  <c r="C28" i="19"/>
  <c r="C27" i="19"/>
  <c r="K11" i="19"/>
  <c r="L11" i="19" s="1"/>
  <c r="J10" i="19"/>
  <c r="V14" i="3"/>
  <c r="V13" i="3"/>
  <c r="V12" i="3"/>
  <c r="V11" i="3"/>
  <c r="V10" i="3"/>
  <c r="V9" i="3"/>
  <c r="V3" i="3"/>
  <c r="AM3" i="3" a="1"/>
  <c r="AM3" i="3" s="1"/>
  <c r="AK5" i="3"/>
  <c r="L4" i="3"/>
  <c r="Z33" i="5"/>
  <c r="Y33" i="5"/>
  <c r="U33" i="5"/>
  <c r="T33" i="5"/>
  <c r="P33" i="5"/>
  <c r="O33" i="5"/>
  <c r="J33" i="5"/>
  <c r="C32" i="13"/>
  <c r="C31" i="13"/>
  <c r="C30" i="13"/>
  <c r="C29" i="13"/>
  <c r="C28" i="13"/>
  <c r="C27" i="13"/>
  <c r="F6" i="3"/>
  <c r="V8" i="3"/>
  <c r="V7" i="3"/>
  <c r="V6" i="3"/>
  <c r="V5" i="3"/>
  <c r="V4" i="3"/>
  <c r="Q8" i="3"/>
  <c r="U8" i="3" s="1"/>
  <c r="Q7" i="3"/>
  <c r="U7" i="3" s="1"/>
  <c r="Q6" i="3"/>
  <c r="U6" i="3" s="1"/>
  <c r="Q5" i="3"/>
  <c r="U5" i="3" s="1"/>
  <c r="Q4" i="3"/>
  <c r="U4" i="3" s="1"/>
  <c r="Q3" i="3"/>
  <c r="U3" i="3" s="1"/>
  <c r="D2" i="3" a="1"/>
  <c r="D2" i="3" s="1"/>
  <c r="U12" i="3" l="1"/>
  <c r="R11" i="20"/>
  <c r="Q10" i="20"/>
  <c r="Q10" i="21"/>
  <c r="R11" i="21"/>
  <c r="U9" i="3"/>
  <c r="U13" i="3"/>
  <c r="U10" i="3"/>
  <c r="U14" i="3"/>
  <c r="U11" i="3"/>
  <c r="M11" i="19"/>
  <c r="L10" i="19"/>
  <c r="K10" i="19"/>
  <c r="E33" i="5"/>
  <c r="S4" i="3"/>
  <c r="N3" i="3"/>
  <c r="K11" i="13"/>
  <c r="K10" i="13" s="1"/>
  <c r="J10" i="13"/>
  <c r="C8" i="5"/>
  <c r="S11" i="21" l="1"/>
  <c r="R10" i="21"/>
  <c r="R10" i="20"/>
  <c r="S11" i="20"/>
  <c r="N11" i="19"/>
  <c r="M10" i="19"/>
  <c r="L11" i="13"/>
  <c r="H8" i="5"/>
  <c r="M8" i="5"/>
  <c r="M29" i="19" a="1"/>
  <c r="L29" i="13" a="1"/>
  <c r="N32" i="19" a="1"/>
  <c r="J32" i="13" a="1"/>
  <c r="E32" i="13" a="1"/>
  <c r="Q27" i="19" a="1"/>
  <c r="J31" i="13" a="1"/>
  <c r="M27" i="19" a="1"/>
  <c r="N31" i="13" a="1"/>
  <c r="J27" i="13" a="1"/>
  <c r="E28" i="19" a="1"/>
  <c r="P30" i="13" a="1"/>
  <c r="J31" i="19" a="1"/>
  <c r="O29" i="13" a="1"/>
  <c r="E27" i="13" a="1"/>
  <c r="S31" i="19" a="1"/>
  <c r="P32" i="13" a="1"/>
  <c r="M32" i="19" a="1"/>
  <c r="K30" i="13" a="1"/>
  <c r="N30" i="19" a="1"/>
  <c r="N27" i="19" a="1"/>
  <c r="K27" i="13" a="1"/>
  <c r="J30" i="19" a="1"/>
  <c r="K32" i="13" a="1"/>
  <c r="R28" i="19" a="1"/>
  <c r="T29" i="13" a="1"/>
  <c r="P27" i="13" a="1"/>
  <c r="N31" i="19" a="1"/>
  <c r="T32" i="13" a="1"/>
  <c r="O30" i="19" a="1"/>
  <c r="S31" i="13" a="1"/>
  <c r="U27" i="19" a="1"/>
  <c r="R30" i="13" a="1"/>
  <c r="O27" i="13" a="1"/>
  <c r="N28" i="19" a="1"/>
  <c r="R29" i="13" a="1"/>
  <c r="O28" i="19" a="1"/>
  <c r="J30" i="13" a="1"/>
  <c r="T27" i="13" a="1"/>
  <c r="T32" i="19" a="1"/>
  <c r="L30" i="19" a="1"/>
  <c r="R28" i="13" a="1"/>
  <c r="O27" i="19" a="1"/>
  <c r="Q29" i="13" a="1"/>
  <c r="M31" i="19" a="1"/>
  <c r="M28" i="19" a="1"/>
  <c r="S28" i="13" a="1"/>
  <c r="L28" i="19" a="1"/>
  <c r="U32" i="13" a="1"/>
  <c r="U31" i="19" a="1"/>
  <c r="U28" i="19" a="1"/>
  <c r="M28" i="13" a="1"/>
  <c r="Q31" i="19" a="1"/>
  <c r="S30" i="13" a="1"/>
  <c r="E30" i="19" a="1"/>
  <c r="E27" i="19" a="1"/>
  <c r="U27" i="13" a="1"/>
  <c r="L27" i="19" a="1"/>
  <c r="P31" i="13" a="1"/>
  <c r="O31" i="19" a="1"/>
  <c r="M29" i="13" a="1"/>
  <c r="E28" i="13" a="1"/>
  <c r="E31" i="19" a="1"/>
  <c r="O28" i="13" a="1"/>
  <c r="N29" i="19" a="1"/>
  <c r="M31" i="13" a="1"/>
  <c r="T29" i="19" a="1"/>
  <c r="J27" i="19" a="1"/>
  <c r="N27" i="13" a="1"/>
  <c r="K31" i="19" a="1"/>
  <c r="K28" i="13" a="1"/>
  <c r="T28" i="19" a="1"/>
  <c r="M32" i="13" a="1"/>
  <c r="O32" i="19" a="1"/>
  <c r="O29" i="19" a="1"/>
  <c r="L28" i="13" a="1"/>
  <c r="K29" i="19" a="1"/>
  <c r="Q31" i="13" a="1"/>
  <c r="J28" i="19" a="1"/>
  <c r="N30" i="13" a="1"/>
  <c r="M27" i="13" a="1"/>
  <c r="T27" i="19" a="1"/>
  <c r="T30" i="13" a="1"/>
  <c r="J32" i="19" a="1"/>
  <c r="N32" i="13" a="1"/>
  <c r="E30" i="13" a="1"/>
  <c r="K28" i="19" a="1"/>
  <c r="L30" i="13" a="1"/>
  <c r="R32" i="19" a="1"/>
  <c r="R31" i="13" a="1"/>
  <c r="E29" i="13" a="1"/>
  <c r="L32" i="19" a="1"/>
  <c r="L32" i="13" a="1"/>
  <c r="U30" i="19" a="1"/>
  <c r="U29" i="13" a="1"/>
  <c r="S30" i="19" a="1"/>
  <c r="S27" i="19" a="1"/>
  <c r="J28" i="13" a="1"/>
  <c r="T31" i="19" a="1"/>
  <c r="O30" i="13" a="1"/>
  <c r="L29" i="19" a="1"/>
  <c r="P29" i="13" a="1"/>
  <c r="L27" i="13" a="1"/>
  <c r="U29" i="19" a="1"/>
  <c r="O32" i="13" a="1"/>
  <c r="P30" i="19" a="1"/>
  <c r="M30" i="13" a="1"/>
  <c r="Q29" i="19" a="1"/>
  <c r="J29" i="13" a="1"/>
  <c r="R27" i="13" a="1"/>
  <c r="S28" i="19" a="1"/>
  <c r="N29" i="13" a="1"/>
  <c r="P27" i="19" a="1"/>
  <c r="L31" i="13" a="1"/>
  <c r="S27" i="13" a="1"/>
  <c r="P29" i="19" a="1"/>
  <c r="S32" i="13" a="1"/>
  <c r="E29" i="19" a="1"/>
  <c r="U31" i="13" a="1"/>
  <c r="P31" i="19" a="1"/>
  <c r="P28" i="19" a="1"/>
  <c r="Q28" i="13" a="1"/>
  <c r="Q32" i="19" a="1"/>
  <c r="S29" i="13" a="1"/>
  <c r="K32" i="19" a="1"/>
  <c r="J29" i="19" a="1"/>
  <c r="P28" i="13" a="1"/>
  <c r="R27" i="19" a="1"/>
  <c r="K29" i="13" a="1"/>
  <c r="K30" i="19" a="1"/>
  <c r="K27" i="19" a="1"/>
  <c r="Q27" i="13" a="1"/>
  <c r="L31" i="19" a="1"/>
  <c r="K31" i="13" a="1"/>
  <c r="R31" i="19" a="1"/>
  <c r="R32" i="13" a="1"/>
  <c r="E31" i="13" a="1"/>
  <c r="P32" i="19" a="1"/>
  <c r="T31" i="13" a="1"/>
  <c r="S29" i="19" a="1"/>
  <c r="U30" i="13" a="1"/>
  <c r="U32" i="19" a="1"/>
  <c r="T30" i="19" a="1"/>
  <c r="U28" i="13" a="1"/>
  <c r="R30" i="19" a="1"/>
  <c r="O31" i="13" a="1"/>
  <c r="M30" i="19" a="1"/>
  <c r="Q30" i="13" a="1"/>
  <c r="S32" i="19" a="1"/>
  <c r="R29" i="19" a="1"/>
  <c r="T28" i="13" a="1"/>
  <c r="Q28" i="19" a="1"/>
  <c r="Q32" i="13" a="1"/>
  <c r="E32" i="19" a="1"/>
  <c r="Q30" i="19" a="1"/>
  <c r="N28" i="13" a="1"/>
  <c r="AB45" i="3" a="1"/>
  <c r="AB27" i="3" a="1"/>
  <c r="AB8" i="3" a="1"/>
  <c r="AB35" i="3" a="1"/>
  <c r="AB42" i="3" a="1"/>
  <c r="AB26" i="3" a="1"/>
  <c r="AB33" i="3" a="1"/>
  <c r="AB11" i="3" a="1"/>
  <c r="AB15" i="3" a="1"/>
  <c r="AB39" i="3" a="1"/>
  <c r="AB30" i="3" a="1"/>
  <c r="AB31" i="3" a="1"/>
  <c r="AB28" i="3" a="1"/>
  <c r="AB13" i="3" a="1"/>
  <c r="AB43" i="3" a="1"/>
  <c r="AB47" i="3" a="1"/>
  <c r="AB50" i="3" a="1"/>
  <c r="AB40" i="3" a="1"/>
  <c r="AB7" i="3" a="1"/>
  <c r="AB9" i="3" a="1"/>
  <c r="AD5" i="3" a="1"/>
  <c r="AB18" i="3" a="1"/>
  <c r="AB16" i="3" a="1"/>
  <c r="AB19" i="3" a="1"/>
  <c r="AB21" i="3" a="1"/>
  <c r="H7" i="3"/>
  <c r="AB36" i="3" a="1"/>
  <c r="AB41" i="3" a="1"/>
  <c r="AH5" i="3" a="1"/>
  <c r="AB44" i="3" a="1"/>
  <c r="AE5" i="3" a="1"/>
  <c r="AB20" i="3" a="1"/>
  <c r="AB14" i="3" a="1"/>
  <c r="AB32" i="3" a="1"/>
  <c r="AB22" i="3" a="1"/>
  <c r="AB6" i="3" a="1"/>
  <c r="AB23" i="3" a="1"/>
  <c r="AB37" i="3" a="1"/>
  <c r="AB24" i="3" a="1"/>
  <c r="AB29" i="3" a="1"/>
  <c r="AF5" i="3" a="1"/>
  <c r="AB49" i="3" a="1"/>
  <c r="AB48" i="3" a="1"/>
  <c r="AB17" i="3" a="1"/>
  <c r="AB12" i="3" a="1"/>
  <c r="AB46" i="3" a="1"/>
  <c r="AB25" i="3" a="1"/>
  <c r="AB10" i="3" a="1"/>
  <c r="AB34" i="3" a="1"/>
  <c r="AB38" i="3" a="1"/>
  <c r="AG5" i="3" a="1"/>
  <c r="F3" i="3" l="1"/>
  <c r="T11" i="20"/>
  <c r="S10" i="20"/>
  <c r="S10" i="21"/>
  <c r="T11" i="21"/>
  <c r="I6" i="3"/>
  <c r="F4" i="3" s="1"/>
  <c r="AB36" i="3"/>
  <c r="AB7" i="3"/>
  <c r="AB8" i="3"/>
  <c r="AB19" i="3"/>
  <c r="AB35" i="3"/>
  <c r="F45" i="8"/>
  <c r="AB10" i="3"/>
  <c r="AB21" i="3"/>
  <c r="AB25" i="3"/>
  <c r="AB43" i="3"/>
  <c r="AH5" i="3"/>
  <c r="AB11" i="3"/>
  <c r="AB27" i="3"/>
  <c r="AB46" i="3"/>
  <c r="AD5" i="3"/>
  <c r="J45" i="8"/>
  <c r="AD45" i="8"/>
  <c r="AF5" i="3"/>
  <c r="AB49" i="3"/>
  <c r="AB22" i="3"/>
  <c r="AB6" i="3"/>
  <c r="AG5" i="3"/>
  <c r="AB34" i="3"/>
  <c r="AB45" i="3"/>
  <c r="AL45" i="8"/>
  <c r="AX45" i="8"/>
  <c r="AB31" i="3"/>
  <c r="AB17" i="3"/>
  <c r="AB23" i="3"/>
  <c r="AB26" i="3"/>
  <c r="AB38" i="3"/>
  <c r="AB29" i="3"/>
  <c r="AB48" i="3"/>
  <c r="AB13" i="3"/>
  <c r="AB44" i="3"/>
  <c r="AB47" i="3"/>
  <c r="AB20" i="3"/>
  <c r="AB14" i="3"/>
  <c r="Z45" i="8"/>
  <c r="N45" i="8"/>
  <c r="AB28" i="3"/>
  <c r="AB30" i="3"/>
  <c r="AB24" i="3"/>
  <c r="AB16" i="3"/>
  <c r="AB9" i="3"/>
  <c r="AB40" i="3"/>
  <c r="AB32" i="3"/>
  <c r="AE5" i="3"/>
  <c r="AB37" i="3"/>
  <c r="AB18" i="3"/>
  <c r="AB50" i="3"/>
  <c r="V45" i="8"/>
  <c r="AB15" i="3"/>
  <c r="AB42" i="3"/>
  <c r="AB39" i="3"/>
  <c r="AB33" i="3"/>
  <c r="AB41" i="3"/>
  <c r="AB12" i="3"/>
  <c r="AT45" i="8"/>
  <c r="R45" i="8"/>
  <c r="AH6" i="3"/>
  <c r="T27" i="13"/>
  <c r="N28" i="13"/>
  <c r="S32" i="13"/>
  <c r="Q31" i="13"/>
  <c r="J30" i="13"/>
  <c r="Q30" i="19"/>
  <c r="P29" i="19"/>
  <c r="K29" i="19"/>
  <c r="O28" i="19"/>
  <c r="E32" i="19"/>
  <c r="G32" i="19" s="1"/>
  <c r="S27" i="13"/>
  <c r="L28" i="13"/>
  <c r="R29" i="13"/>
  <c r="Q32" i="13"/>
  <c r="L31" i="13"/>
  <c r="O29" i="19"/>
  <c r="N28" i="19"/>
  <c r="Q28" i="19"/>
  <c r="P27" i="19"/>
  <c r="O32" i="19"/>
  <c r="O27" i="13"/>
  <c r="T28" i="13"/>
  <c r="N29" i="13"/>
  <c r="M32" i="13"/>
  <c r="R30" i="13"/>
  <c r="R29" i="19"/>
  <c r="S28" i="19"/>
  <c r="T28" i="19"/>
  <c r="U27" i="19"/>
  <c r="S32" i="19"/>
  <c r="R27" i="13"/>
  <c r="K28" i="13"/>
  <c r="S31" i="13"/>
  <c r="Q30" i="13"/>
  <c r="J29" i="13"/>
  <c r="K31" i="19"/>
  <c r="O30" i="19"/>
  <c r="M30" i="19"/>
  <c r="Q29" i="19"/>
  <c r="AH45" i="8"/>
  <c r="AP45" i="8"/>
  <c r="N27" i="13"/>
  <c r="T32" i="13"/>
  <c r="O31" i="13"/>
  <c r="M30" i="13"/>
  <c r="J27" i="19"/>
  <c r="N31" i="19"/>
  <c r="R30" i="19"/>
  <c r="P30" i="19"/>
  <c r="T29" i="19"/>
  <c r="P27" i="13"/>
  <c r="U28" i="13"/>
  <c r="O32" i="13"/>
  <c r="M31" i="13"/>
  <c r="T29" i="13"/>
  <c r="T30" i="19"/>
  <c r="U29" i="19"/>
  <c r="N29" i="19"/>
  <c r="R28" i="19"/>
  <c r="U32" i="19"/>
  <c r="L27" i="13"/>
  <c r="O28" i="13"/>
  <c r="K32" i="13"/>
  <c r="U30" i="13"/>
  <c r="P29" i="13"/>
  <c r="E31" i="19"/>
  <c r="G31" i="19" s="1"/>
  <c r="J30" i="19"/>
  <c r="S29" i="19"/>
  <c r="L29" i="19"/>
  <c r="E28" i="13"/>
  <c r="G28" i="13" s="1"/>
  <c r="K27" i="13"/>
  <c r="T31" i="13"/>
  <c r="O30" i="13"/>
  <c r="M29" i="13"/>
  <c r="N27" i="19"/>
  <c r="P32" i="19"/>
  <c r="T31" i="19"/>
  <c r="O31" i="19"/>
  <c r="N30" i="19"/>
  <c r="E31" i="13"/>
  <c r="G31" i="13" s="1"/>
  <c r="J28" i="13"/>
  <c r="P31" i="13"/>
  <c r="K30" i="13"/>
  <c r="R32" i="13"/>
  <c r="S27" i="19"/>
  <c r="L27" i="19"/>
  <c r="M32" i="19"/>
  <c r="R31" i="19"/>
  <c r="S30" i="19"/>
  <c r="U27" i="13"/>
  <c r="P32" i="13"/>
  <c r="K31" i="13"/>
  <c r="U29" i="13"/>
  <c r="E27" i="19"/>
  <c r="G27" i="19" s="1"/>
  <c r="S31" i="19"/>
  <c r="L31" i="19"/>
  <c r="U30" i="19"/>
  <c r="E30" i="19"/>
  <c r="G30" i="19" s="1"/>
  <c r="E27" i="13"/>
  <c r="G27" i="13" s="1"/>
  <c r="Q27" i="13"/>
  <c r="L32" i="13"/>
  <c r="S30" i="13"/>
  <c r="O29" i="13"/>
  <c r="K27" i="19"/>
  <c r="L32" i="19"/>
  <c r="Q31" i="19"/>
  <c r="J31" i="19"/>
  <c r="K30" i="19"/>
  <c r="E29" i="13"/>
  <c r="G29" i="13" s="1"/>
  <c r="M28" i="13"/>
  <c r="P30" i="13"/>
  <c r="K29" i="13"/>
  <c r="R31" i="13"/>
  <c r="U28" i="19"/>
  <c r="E28" i="19"/>
  <c r="G28" i="19" s="1"/>
  <c r="R27" i="19"/>
  <c r="R32" i="19"/>
  <c r="U31" i="19"/>
  <c r="J27" i="13"/>
  <c r="P28" i="13"/>
  <c r="L30" i="13"/>
  <c r="U32" i="13"/>
  <c r="N31" i="13"/>
  <c r="J29" i="19"/>
  <c r="K28" i="19"/>
  <c r="L28" i="19"/>
  <c r="M27" i="19"/>
  <c r="K32" i="19"/>
  <c r="E30" i="13"/>
  <c r="G30" i="13" s="1"/>
  <c r="S28" i="13"/>
  <c r="J31" i="13"/>
  <c r="S29" i="13"/>
  <c r="N32" i="13"/>
  <c r="M28" i="19"/>
  <c r="Q27" i="19"/>
  <c r="Q32" i="19"/>
  <c r="J32" i="19"/>
  <c r="M31" i="19"/>
  <c r="E32" i="13"/>
  <c r="G32" i="13" s="1"/>
  <c r="Q28" i="13"/>
  <c r="T30" i="13"/>
  <c r="Q29" i="13"/>
  <c r="J32" i="13"/>
  <c r="P28" i="19"/>
  <c r="T27" i="19"/>
  <c r="O27" i="19"/>
  <c r="N32" i="19"/>
  <c r="P31" i="19"/>
  <c r="M27" i="13"/>
  <c r="R28" i="13"/>
  <c r="L29" i="13"/>
  <c r="U31" i="13"/>
  <c r="N30" i="13"/>
  <c r="AC45" i="8"/>
  <c r="AK45" i="8"/>
  <c r="M45" i="8"/>
  <c r="AS45" i="8"/>
  <c r="I45" i="8"/>
  <c r="U45" i="8"/>
  <c r="Y45" i="8"/>
  <c r="AG6" i="3"/>
  <c r="AG7" i="3" s="1"/>
  <c r="AD6" i="3"/>
  <c r="AF6" i="3"/>
  <c r="AE6" i="3"/>
  <c r="AW45" i="8"/>
  <c r="Q45" i="8"/>
  <c r="AO45" i="8"/>
  <c r="E45" i="8"/>
  <c r="AG45" i="8"/>
  <c r="L30" i="19"/>
  <c r="M29" i="19"/>
  <c r="E29" i="19"/>
  <c r="G29" i="19" s="1"/>
  <c r="J28" i="19"/>
  <c r="T32" i="19"/>
  <c r="W6" i="3"/>
  <c r="W4" i="3"/>
  <c r="N10" i="19"/>
  <c r="O11" i="19"/>
  <c r="L10" i="13"/>
  <c r="M11" i="13"/>
  <c r="Z3" i="3" a="1"/>
  <c r="U11" i="21" l="1"/>
  <c r="T10" i="21"/>
  <c r="U11" i="20"/>
  <c r="T10" i="20"/>
  <c r="AF7" i="3"/>
  <c r="AE7" i="3"/>
  <c r="AH7" i="3"/>
  <c r="AD7" i="3"/>
  <c r="Z3" i="3"/>
  <c r="O10" i="19"/>
  <c r="P11" i="19"/>
  <c r="M10" i="13"/>
  <c r="N11" i="13"/>
  <c r="AB4" i="3" a="1"/>
  <c r="AB5" i="3" a="1"/>
  <c r="AB3" i="3" a="1"/>
  <c r="V11" i="20" l="1"/>
  <c r="U10" i="20"/>
  <c r="V11" i="21"/>
  <c r="U10" i="21"/>
  <c r="AB5" i="3"/>
  <c r="AB4" i="3"/>
  <c r="AB3" i="3"/>
  <c r="P10" i="19"/>
  <c r="Q11" i="19"/>
  <c r="N10" i="13"/>
  <c r="O11" i="13"/>
  <c r="W11" i="21" l="1"/>
  <c r="V10" i="21"/>
  <c r="V10" i="20"/>
  <c r="W11" i="20"/>
  <c r="R11" i="19"/>
  <c r="Q10" i="19"/>
  <c r="O10" i="13"/>
  <c r="P11" i="13"/>
  <c r="X11" i="20" l="1"/>
  <c r="W10" i="20"/>
  <c r="W10" i="21"/>
  <c r="X11" i="21"/>
  <c r="S11" i="19"/>
  <c r="R10" i="19"/>
  <c r="P10" i="13"/>
  <c r="Q11" i="13"/>
  <c r="Y11" i="21" l="1"/>
  <c r="X10" i="21"/>
  <c r="Y11" i="20"/>
  <c r="X10" i="20"/>
  <c r="T11" i="19"/>
  <c r="S10" i="19"/>
  <c r="Q10" i="13"/>
  <c r="R11" i="13"/>
  <c r="Z11" i="20" l="1"/>
  <c r="Y10" i="20"/>
  <c r="Z11" i="21"/>
  <c r="Y10" i="21"/>
  <c r="T10" i="19"/>
  <c r="U11" i="19"/>
  <c r="R10" i="13"/>
  <c r="S11" i="13"/>
  <c r="R8" i="5"/>
  <c r="Z10" i="20" l="1"/>
  <c r="AA11" i="20"/>
  <c r="AA11" i="21"/>
  <c r="Z10" i="21"/>
  <c r="V11" i="19"/>
  <c r="U10" i="19"/>
  <c r="T11" i="13"/>
  <c r="S10" i="13"/>
  <c r="AA10" i="21" l="1"/>
  <c r="AB11" i="21"/>
  <c r="AB11" i="20"/>
  <c r="AA10" i="20"/>
  <c r="W11" i="19"/>
  <c r="V10" i="19"/>
  <c r="U11" i="13"/>
  <c r="T10" i="13"/>
  <c r="AC11" i="20" l="1"/>
  <c r="AB10" i="20"/>
  <c r="AB10" i="21"/>
  <c r="AC11" i="21"/>
  <c r="X11" i="19"/>
  <c r="W10" i="19"/>
  <c r="U10" i="13"/>
  <c r="V11" i="13"/>
  <c r="W8" i="5"/>
  <c r="AC10" i="21" l="1"/>
  <c r="AD11" i="21"/>
  <c r="AD11" i="20"/>
  <c r="AC10" i="20"/>
  <c r="X10" i="19"/>
  <c r="Y11" i="19"/>
  <c r="V10" i="13"/>
  <c r="W11" i="13"/>
  <c r="AD10" i="20" l="1"/>
  <c r="AE11" i="20"/>
  <c r="AE11" i="21"/>
  <c r="AD10" i="21"/>
  <c r="Z11" i="19"/>
  <c r="Y10" i="19"/>
  <c r="W10" i="13"/>
  <c r="X11" i="13"/>
  <c r="AE10" i="21" l="1"/>
  <c r="AF11" i="21"/>
  <c r="AF11" i="20"/>
  <c r="AE10" i="20"/>
  <c r="AA11" i="19"/>
  <c r="Z10" i="19"/>
  <c r="X10" i="13"/>
  <c r="Y11" i="13"/>
  <c r="AG11" i="20" l="1"/>
  <c r="AF10" i="20"/>
  <c r="AG11" i="21"/>
  <c r="AF10" i="21"/>
  <c r="AA10" i="19"/>
  <c r="AB11" i="19"/>
  <c r="Y10" i="13"/>
  <c r="Z11" i="13"/>
  <c r="AH11" i="20" l="1"/>
  <c r="AG10" i="20"/>
  <c r="AG10" i="21"/>
  <c r="AH11" i="21"/>
  <c r="AC11" i="19"/>
  <c r="AB10" i="19"/>
  <c r="AA11" i="13"/>
  <c r="Z10" i="13"/>
  <c r="AI11" i="21" l="1"/>
  <c r="AH10" i="21"/>
  <c r="AH10" i="20"/>
  <c r="AI11" i="20"/>
  <c r="AD11" i="19"/>
  <c r="AC10" i="19"/>
  <c r="AA10" i="13"/>
  <c r="AB11" i="13"/>
  <c r="AJ11" i="20" l="1"/>
  <c r="AI10" i="20"/>
  <c r="AI10" i="21"/>
  <c r="AJ11" i="21"/>
  <c r="AE11" i="19"/>
  <c r="AD10" i="19"/>
  <c r="AB10" i="13"/>
  <c r="AC11" i="13"/>
  <c r="AK11" i="21" l="1"/>
  <c r="AJ10" i="21"/>
  <c r="AJ10" i="20"/>
  <c r="AK11" i="20"/>
  <c r="AE10" i="19"/>
  <c r="AF11" i="19"/>
  <c r="AC10" i="13"/>
  <c r="AD11" i="13"/>
  <c r="AL11" i="20" l="1"/>
  <c r="AK10" i="20"/>
  <c r="AL11" i="21"/>
  <c r="AK10" i="21"/>
  <c r="AG11" i="19"/>
  <c r="AF10" i="19"/>
  <c r="AE11" i="13"/>
  <c r="AD10" i="13"/>
  <c r="AL10" i="20" l="1"/>
  <c r="AM11" i="20"/>
  <c r="AM11" i="21"/>
  <c r="AL10" i="21"/>
  <c r="AH11" i="19"/>
  <c r="AG10" i="19"/>
  <c r="AE10" i="13"/>
  <c r="AF11" i="13"/>
  <c r="AM10" i="21" l="1"/>
  <c r="AN11" i="21"/>
  <c r="AN11" i="20"/>
  <c r="AM10" i="20"/>
  <c r="AI11" i="19"/>
  <c r="AH10" i="19"/>
  <c r="AF10" i="13"/>
  <c r="AG11" i="13"/>
  <c r="AO11" i="21" l="1"/>
  <c r="AN10" i="21"/>
  <c r="AO11" i="20"/>
  <c r="AN10" i="20"/>
  <c r="AJ11" i="19"/>
  <c r="AI10" i="19"/>
  <c r="AG10" i="13"/>
  <c r="AH11" i="13"/>
  <c r="AP11" i="20" l="1"/>
  <c r="AO10" i="20"/>
  <c r="AP11" i="21"/>
  <c r="AO10" i="21"/>
  <c r="AJ10" i="19"/>
  <c r="AK11" i="19"/>
  <c r="AI11" i="13"/>
  <c r="AH10" i="13"/>
  <c r="AQ11" i="21" l="1"/>
  <c r="AP10" i="21"/>
  <c r="AP10" i="20"/>
  <c r="AQ11" i="20"/>
  <c r="AL11" i="19"/>
  <c r="AK10" i="19"/>
  <c r="AI10" i="13"/>
  <c r="AJ11" i="13"/>
  <c r="AR11" i="20" l="1"/>
  <c r="AQ10" i="20"/>
  <c r="AQ10" i="21"/>
  <c r="AR11" i="21"/>
  <c r="AM11" i="19"/>
  <c r="AL10" i="19"/>
  <c r="AJ10" i="13"/>
  <c r="AK11" i="13"/>
  <c r="AR10" i="21" l="1"/>
  <c r="AS11" i="21"/>
  <c r="AR10" i="20"/>
  <c r="AS11" i="20"/>
  <c r="AN11" i="19"/>
  <c r="AM10" i="19"/>
  <c r="AK10" i="13"/>
  <c r="AL11" i="13"/>
  <c r="AT11" i="20" l="1"/>
  <c r="AS10" i="20"/>
  <c r="AS10" i="21"/>
  <c r="AT11" i="21"/>
  <c r="AO11" i="19"/>
  <c r="AN10" i="19"/>
  <c r="AM11" i="13"/>
  <c r="AL10" i="13"/>
  <c r="AU11" i="21" l="1"/>
  <c r="AT10" i="21"/>
  <c r="AT10" i="20"/>
  <c r="AU11" i="20"/>
  <c r="AP11" i="19"/>
  <c r="AO10" i="19"/>
  <c r="AM10" i="13"/>
  <c r="AN11" i="13"/>
  <c r="AV11" i="20" l="1"/>
  <c r="AU10" i="20"/>
  <c r="AU10" i="21"/>
  <c r="AV11" i="21"/>
  <c r="AQ11" i="19"/>
  <c r="AP10" i="19"/>
  <c r="AN10" i="13"/>
  <c r="AO11" i="13"/>
  <c r="AW11" i="21" l="1"/>
  <c r="AV10" i="21"/>
  <c r="AW11" i="20"/>
  <c r="AV10" i="20"/>
  <c r="AR11" i="19"/>
  <c r="AQ10" i="19"/>
  <c r="AO10" i="13"/>
  <c r="AP11" i="13"/>
  <c r="AX11" i="20" l="1"/>
  <c r="AW10" i="20"/>
  <c r="AW10" i="21"/>
  <c r="AX11" i="21"/>
  <c r="AS11" i="19"/>
  <c r="AR10" i="19"/>
  <c r="AQ11" i="13"/>
  <c r="AP10" i="13"/>
  <c r="AY11" i="21" l="1"/>
  <c r="AX10" i="21"/>
  <c r="AX10" i="20"/>
  <c r="AY11" i="20"/>
  <c r="AT11" i="19"/>
  <c r="AS10" i="19"/>
  <c r="AQ10" i="13"/>
  <c r="AR11" i="13"/>
  <c r="AZ11" i="20" l="1"/>
  <c r="AY10" i="20"/>
  <c r="AY10" i="21"/>
  <c r="AZ11" i="21"/>
  <c r="AU11" i="19"/>
  <c r="AT10" i="19"/>
  <c r="AR10" i="13"/>
  <c r="AS11" i="13"/>
  <c r="BA11" i="21" l="1"/>
  <c r="AZ10" i="21"/>
  <c r="AZ10" i="20"/>
  <c r="BA11" i="20"/>
  <c r="AU10" i="19"/>
  <c r="AV11" i="19"/>
  <c r="AS10" i="13"/>
  <c r="AT11" i="13"/>
  <c r="BB11" i="20" l="1"/>
  <c r="BA10" i="20"/>
  <c r="BB11" i="21"/>
  <c r="BA10" i="21"/>
  <c r="AV10" i="19"/>
  <c r="AW11" i="19"/>
  <c r="AU11" i="13"/>
  <c r="AT10" i="13"/>
  <c r="BB10" i="20" l="1"/>
  <c r="BC11" i="20"/>
  <c r="BC11" i="21"/>
  <c r="BB10" i="21"/>
  <c r="AX11" i="19"/>
  <c r="AW10" i="19"/>
  <c r="AV11" i="13"/>
  <c r="AU10" i="13"/>
  <c r="BC10" i="21" l="1"/>
  <c r="BD11" i="21"/>
  <c r="BD11" i="20"/>
  <c r="BC10" i="20"/>
  <c r="AY11" i="19"/>
  <c r="AX10" i="19"/>
  <c r="AV10" i="13"/>
  <c r="AW11" i="13"/>
  <c r="BE11" i="20" l="1"/>
  <c r="BD10" i="20"/>
  <c r="BE11" i="21"/>
  <c r="BD10" i="21"/>
  <c r="AZ11" i="19"/>
  <c r="AY10" i="19"/>
  <c r="AW10" i="13"/>
  <c r="AX11" i="13"/>
  <c r="BF11" i="21" l="1"/>
  <c r="BE10" i="21"/>
  <c r="BF11" i="20"/>
  <c r="BE10" i="20"/>
  <c r="AZ10" i="19"/>
  <c r="BA11" i="19"/>
  <c r="AY11" i="13"/>
  <c r="AX10" i="13"/>
  <c r="BF10" i="20" l="1"/>
  <c r="BG11" i="20"/>
  <c r="BG11" i="21"/>
  <c r="BF10" i="21"/>
  <c r="BB11" i="19"/>
  <c r="BA10" i="19"/>
  <c r="AY10" i="13"/>
  <c r="AZ11" i="13"/>
  <c r="BG10" i="21" l="1"/>
  <c r="BH11" i="21"/>
  <c r="BH11" i="20"/>
  <c r="BG10" i="20"/>
  <c r="BC11" i="19"/>
  <c r="BB10" i="19"/>
  <c r="AZ10" i="13"/>
  <c r="BA11" i="13"/>
  <c r="BH10" i="20" l="1"/>
  <c r="BI11" i="20"/>
  <c r="BH10" i="21"/>
  <c r="BI11" i="21"/>
  <c r="BD11" i="19"/>
  <c r="BC10" i="19"/>
  <c r="BA10" i="13"/>
  <c r="BB11" i="13"/>
  <c r="BI10" i="21" l="1"/>
  <c r="BJ11" i="21"/>
  <c r="BJ11" i="20"/>
  <c r="BI10" i="20"/>
  <c r="BE11" i="19"/>
  <c r="BD10" i="19"/>
  <c r="BC11" i="13"/>
  <c r="BB10" i="13"/>
  <c r="BK11" i="21" l="1"/>
  <c r="BJ10" i="21"/>
  <c r="BJ10" i="20"/>
  <c r="BK11" i="20"/>
  <c r="BF11" i="19"/>
  <c r="BE10" i="19"/>
  <c r="BD11" i="13"/>
  <c r="BC10" i="13"/>
  <c r="BL11" i="20" l="1"/>
  <c r="BK10" i="20"/>
  <c r="BK10" i="21"/>
  <c r="BL11" i="21"/>
  <c r="BG11" i="19"/>
  <c r="BF10" i="19"/>
  <c r="BD10" i="13"/>
  <c r="BE11" i="13"/>
  <c r="BM11" i="21" l="1"/>
  <c r="BL10" i="21"/>
  <c r="BM11" i="20"/>
  <c r="BL10" i="20"/>
  <c r="BG10" i="19"/>
  <c r="BH11" i="19"/>
  <c r="BE10" i="13"/>
  <c r="BF11" i="13"/>
  <c r="BN11" i="20" l="1"/>
  <c r="BM10" i="20"/>
  <c r="BM10" i="21"/>
  <c r="BN11" i="21"/>
  <c r="BI11" i="19"/>
  <c r="BH10" i="19"/>
  <c r="BG11" i="13"/>
  <c r="BF10" i="13"/>
  <c r="BO11" i="21" l="1"/>
  <c r="BN10" i="21"/>
  <c r="BN10" i="20"/>
  <c r="BO11" i="20"/>
  <c r="BJ11" i="19"/>
  <c r="BI10" i="19"/>
  <c r="BG10" i="13"/>
  <c r="BH11" i="13"/>
  <c r="BP11" i="20" l="1"/>
  <c r="BO10" i="20"/>
  <c r="BO10" i="21"/>
  <c r="BP11" i="21"/>
  <c r="BK11" i="19"/>
  <c r="BJ10" i="19"/>
  <c r="BH10" i="13"/>
  <c r="BI11" i="13"/>
  <c r="BQ11" i="21" l="1"/>
  <c r="BP10" i="21"/>
  <c r="BP10" i="20"/>
  <c r="BQ11" i="20"/>
  <c r="BK10" i="19"/>
  <c r="BL11" i="19"/>
  <c r="BI10" i="13"/>
  <c r="BJ11" i="13"/>
  <c r="BR11" i="20" l="1"/>
  <c r="BQ10" i="20"/>
  <c r="BR11" i="21"/>
  <c r="BQ10" i="21"/>
  <c r="BM11" i="19"/>
  <c r="BL10" i="19"/>
  <c r="BK11" i="13"/>
  <c r="BJ10" i="13"/>
  <c r="BS11" i="21" l="1"/>
  <c r="BR10" i="21"/>
  <c r="BR10" i="20"/>
  <c r="BS11" i="20"/>
  <c r="BN11" i="19"/>
  <c r="BM10" i="19"/>
  <c r="BL11" i="13"/>
  <c r="BK10" i="13"/>
  <c r="BT11" i="20" l="1"/>
  <c r="BS10" i="20"/>
  <c r="BS10" i="21"/>
  <c r="BT11" i="21"/>
  <c r="BO11" i="19"/>
  <c r="BN10" i="19"/>
  <c r="BL10" i="13"/>
  <c r="BM11" i="13"/>
  <c r="BU11" i="21" l="1"/>
  <c r="BT10" i="21"/>
  <c r="BU11" i="20"/>
  <c r="BT10" i="20"/>
  <c r="BP11" i="19"/>
  <c r="BO10" i="19"/>
  <c r="BM10" i="13"/>
  <c r="BN11" i="13"/>
  <c r="BV11" i="20" l="1"/>
  <c r="BU10" i="20"/>
  <c r="BV11" i="21"/>
  <c r="BU10" i="21"/>
  <c r="BP10" i="19"/>
  <c r="BQ11" i="19"/>
  <c r="BN10" i="13"/>
  <c r="BO11" i="13"/>
  <c r="BW11" i="21" l="1"/>
  <c r="BV10" i="21"/>
  <c r="BV10" i="20"/>
  <c r="BW11" i="20"/>
  <c r="BR11" i="19"/>
  <c r="BQ10" i="19"/>
  <c r="BP11" i="13"/>
  <c r="BO10" i="13"/>
  <c r="BX11" i="20" l="1"/>
  <c r="BW10" i="20"/>
  <c r="BW10" i="21"/>
  <c r="BX11" i="21"/>
  <c r="BS11" i="19"/>
  <c r="BR10" i="19"/>
  <c r="BP10" i="13"/>
  <c r="BQ11" i="13"/>
  <c r="BX10" i="21" l="1"/>
  <c r="BY11" i="21"/>
  <c r="BX10" i="20"/>
  <c r="BY11" i="20"/>
  <c r="BT11" i="19"/>
  <c r="BS10" i="19"/>
  <c r="BQ10" i="13"/>
  <c r="BR11" i="13"/>
  <c r="BZ11" i="20" l="1"/>
  <c r="BY10" i="20"/>
  <c r="BY10" i="21"/>
  <c r="BZ11" i="21"/>
  <c r="BU11" i="19"/>
  <c r="BT10" i="19"/>
  <c r="BR10" i="13"/>
  <c r="BS11" i="13"/>
  <c r="CA11" i="21" l="1"/>
  <c r="BZ10" i="21"/>
  <c r="BZ10" i="20"/>
  <c r="CA11" i="20"/>
  <c r="BV11" i="19"/>
  <c r="BU10" i="19"/>
  <c r="BT11" i="13"/>
  <c r="BS10" i="13"/>
  <c r="CB11" i="20" l="1"/>
  <c r="CA10" i="20"/>
  <c r="CA10" i="21"/>
  <c r="CB11" i="21"/>
  <c r="BW11" i="19"/>
  <c r="BV10" i="19"/>
  <c r="BT10" i="13"/>
  <c r="BU11" i="13"/>
  <c r="CC11" i="21" l="1"/>
  <c r="CB10" i="21"/>
  <c r="CC11" i="20"/>
  <c r="CB10" i="20"/>
  <c r="BX11" i="19"/>
  <c r="BW10" i="19"/>
  <c r="BU10" i="13"/>
  <c r="BV11" i="13"/>
  <c r="CD11" i="20" l="1"/>
  <c r="CC10" i="20"/>
  <c r="CC10" i="21"/>
  <c r="CD11" i="21"/>
  <c r="BY11" i="19"/>
  <c r="BX10" i="19"/>
  <c r="BV10" i="13"/>
  <c r="BW11" i="13"/>
  <c r="CE11" i="21" l="1"/>
  <c r="CD10" i="21"/>
  <c r="CD10" i="20"/>
  <c r="CE11" i="20"/>
  <c r="BZ11" i="19"/>
  <c r="BY10" i="19"/>
  <c r="BW10" i="13"/>
  <c r="BX11" i="13"/>
  <c r="CF11" i="20" l="1"/>
  <c r="CE10" i="20"/>
  <c r="CE10" i="21"/>
  <c r="CF11" i="21"/>
  <c r="CA11" i="19"/>
  <c r="BZ10" i="19"/>
  <c r="BY11" i="13"/>
  <c r="BX10" i="13"/>
  <c r="CG11" i="21" l="1"/>
  <c r="CF10" i="21"/>
  <c r="CF10" i="20"/>
  <c r="CG11" i="20"/>
  <c r="CA10" i="19"/>
  <c r="CB11" i="19"/>
  <c r="BZ11" i="13"/>
  <c r="BY10" i="13"/>
  <c r="CH11" i="20" l="1"/>
  <c r="CG10" i="20"/>
  <c r="CH11" i="21"/>
  <c r="CG10" i="21"/>
  <c r="CB10" i="19"/>
  <c r="CC11" i="19"/>
  <c r="CA11" i="13"/>
  <c r="BZ10" i="13"/>
  <c r="CI11" i="21" l="1"/>
  <c r="CH10" i="21"/>
  <c r="CH10" i="20"/>
  <c r="CI11" i="20"/>
  <c r="CD11" i="19"/>
  <c r="CC10" i="19"/>
  <c r="CA10" i="13"/>
  <c r="CB11" i="13"/>
  <c r="CJ11" i="20" l="1"/>
  <c r="CI10" i="20"/>
  <c r="CI10" i="21"/>
  <c r="CJ11" i="21"/>
  <c r="CE11" i="19"/>
  <c r="CD10" i="19"/>
  <c r="CC11" i="13"/>
  <c r="CB10" i="13"/>
  <c r="CK11" i="21" l="1"/>
  <c r="CJ10" i="21"/>
  <c r="CK11" i="20"/>
  <c r="CJ10" i="20"/>
  <c r="CF11" i="19"/>
  <c r="CE10" i="19"/>
  <c r="CC10" i="13"/>
  <c r="CD11" i="13"/>
  <c r="CL11" i="20" l="1"/>
  <c r="CK10" i="20"/>
  <c r="CL11" i="21"/>
  <c r="CK10" i="21"/>
  <c r="CF10" i="19"/>
  <c r="CG11" i="19"/>
  <c r="CE11" i="13"/>
  <c r="CD10" i="13"/>
  <c r="CM11" i="21" l="1"/>
  <c r="CL10" i="21"/>
  <c r="CL10" i="20"/>
  <c r="CM11" i="20"/>
  <c r="CH11" i="19"/>
  <c r="CG10" i="19"/>
  <c r="CF11" i="13"/>
  <c r="CE10" i="13"/>
  <c r="CN11" i="20" l="1"/>
  <c r="CM10" i="20"/>
  <c r="CM10" i="21"/>
  <c r="CN11" i="21"/>
  <c r="CI11" i="19"/>
  <c r="CH10" i="19"/>
  <c r="CG11" i="13"/>
  <c r="CF10" i="13"/>
  <c r="CN10" i="21" l="1"/>
  <c r="CO11" i="21"/>
  <c r="CO11" i="20"/>
  <c r="CN10" i="20"/>
  <c r="CJ11" i="19"/>
  <c r="CI10" i="19"/>
  <c r="CG10" i="13"/>
  <c r="CH11" i="13"/>
  <c r="CP11" i="20" l="1"/>
  <c r="CO10" i="20"/>
  <c r="CO10" i="21"/>
  <c r="CP11" i="21"/>
  <c r="CK11" i="19"/>
  <c r="CJ10" i="19"/>
  <c r="CI11" i="13"/>
  <c r="CH10" i="13"/>
  <c r="CQ11" i="21" l="1"/>
  <c r="CP10" i="21"/>
  <c r="CP10" i="20"/>
  <c r="CQ11" i="20"/>
  <c r="CL11" i="19"/>
  <c r="CK10" i="19"/>
  <c r="CI10" i="13"/>
  <c r="CJ11" i="13"/>
  <c r="CR11" i="20" l="1"/>
  <c r="CQ10" i="20"/>
  <c r="CQ10" i="21"/>
  <c r="CR11" i="21"/>
  <c r="CL10" i="19"/>
  <c r="CM11" i="19"/>
  <c r="CK11" i="13"/>
  <c r="CJ10" i="13"/>
  <c r="CS11" i="21" l="1"/>
  <c r="CR10" i="21"/>
  <c r="CS11" i="20"/>
  <c r="CR10" i="20"/>
  <c r="CM10" i="19"/>
  <c r="CN11" i="19"/>
  <c r="CK10" i="13"/>
  <c r="CL11" i="13"/>
  <c r="CT11" i="20" l="1"/>
  <c r="CS10" i="20"/>
  <c r="CS10" i="21"/>
  <c r="CT11" i="21"/>
  <c r="CO11" i="19"/>
  <c r="CN10" i="19"/>
  <c r="CM11" i="13"/>
  <c r="CL10" i="13"/>
  <c r="CT10" i="20" l="1"/>
  <c r="CU11" i="20"/>
  <c r="CU11" i="21"/>
  <c r="CT10" i="21"/>
  <c r="CP11" i="19"/>
  <c r="CO10" i="19"/>
  <c r="CN11" i="13"/>
  <c r="CM10" i="13"/>
  <c r="CV11" i="20" l="1"/>
  <c r="CU10" i="20"/>
  <c r="CU10" i="21"/>
  <c r="CV11" i="21"/>
  <c r="CQ11" i="19"/>
  <c r="CP10" i="19"/>
  <c r="CN10" i="13"/>
  <c r="CO11" i="13"/>
  <c r="CW11" i="21" l="1"/>
  <c r="CV10" i="21"/>
  <c r="CV10" i="20"/>
  <c r="CW11" i="20"/>
  <c r="CR11" i="19"/>
  <c r="CQ10" i="19"/>
  <c r="CO10" i="13"/>
  <c r="CP11" i="13"/>
  <c r="CX11" i="20" l="1"/>
  <c r="CW10" i="20"/>
  <c r="CX11" i="21"/>
  <c r="CW10" i="21"/>
  <c r="CR10" i="19"/>
  <c r="CS11" i="19"/>
  <c r="CP10" i="13"/>
  <c r="CQ11" i="13"/>
  <c r="CY11" i="21" l="1"/>
  <c r="CX10" i="21"/>
  <c r="CX10" i="20"/>
  <c r="CY11" i="20"/>
  <c r="CT11" i="19"/>
  <c r="CS10" i="19"/>
  <c r="CQ10" i="13"/>
  <c r="CR11" i="13"/>
  <c r="CZ11" i="20" l="1"/>
  <c r="CY10" i="20"/>
  <c r="CY10" i="21"/>
  <c r="CZ11" i="21"/>
  <c r="CU11" i="19"/>
  <c r="CT10" i="19"/>
  <c r="CR10" i="13"/>
  <c r="CS11" i="13"/>
  <c r="DA11" i="21" l="1"/>
  <c r="CZ10" i="21"/>
  <c r="DA11" i="20"/>
  <c r="CZ10" i="20"/>
  <c r="CV11" i="19"/>
  <c r="CU10" i="19"/>
  <c r="CS10" i="13"/>
  <c r="CT11" i="13"/>
  <c r="DB11" i="20" l="1"/>
  <c r="DA10" i="20"/>
  <c r="DB11" i="21"/>
  <c r="DA10" i="21"/>
  <c r="CV10" i="19"/>
  <c r="CW11" i="19"/>
  <c r="CU11" i="13"/>
  <c r="CT10" i="13"/>
  <c r="DB10" i="20" l="1"/>
  <c r="DC11" i="20"/>
  <c r="DC11" i="21"/>
  <c r="DB10" i="21"/>
  <c r="CX11" i="19"/>
  <c r="CW10" i="19"/>
  <c r="CU10" i="13"/>
  <c r="CV11" i="13"/>
  <c r="DC10" i="21" l="1"/>
  <c r="DD11" i="21"/>
  <c r="DD11" i="20"/>
  <c r="DC10" i="20"/>
  <c r="CY11" i="19"/>
  <c r="CX10" i="19"/>
  <c r="CW11" i="13"/>
  <c r="CV10" i="13"/>
  <c r="DE11" i="20" l="1"/>
  <c r="DD10" i="20"/>
  <c r="DD10" i="21"/>
  <c r="DE11" i="21"/>
  <c r="CY10" i="19"/>
  <c r="CZ11" i="19"/>
  <c r="CW10" i="13"/>
  <c r="CX11" i="13"/>
  <c r="DE10" i="21" l="1"/>
  <c r="DF11" i="21"/>
  <c r="DF11" i="20"/>
  <c r="DE10" i="20"/>
  <c r="DA11" i="19"/>
  <c r="CZ10" i="19"/>
  <c r="CY11" i="13"/>
  <c r="CX10" i="13"/>
  <c r="DF10" i="20" l="1"/>
  <c r="DG11" i="20"/>
  <c r="DG11" i="21"/>
  <c r="DF10" i="21"/>
  <c r="DB11" i="19"/>
  <c r="DA10" i="19"/>
  <c r="CY10" i="13"/>
  <c r="CZ11" i="13"/>
  <c r="DG10" i="21" l="1"/>
  <c r="DH11" i="21"/>
  <c r="DH11" i="20"/>
  <c r="DG10" i="20"/>
  <c r="DC11" i="19"/>
  <c r="DB10" i="19"/>
  <c r="CZ10" i="13"/>
  <c r="DA11" i="13"/>
  <c r="DI11" i="20" l="1"/>
  <c r="DH10" i="20"/>
  <c r="DI11" i="21"/>
  <c r="DH10" i="21"/>
  <c r="DD11" i="19"/>
  <c r="DC10" i="19"/>
  <c r="DB11" i="13"/>
  <c r="DA10" i="13"/>
  <c r="DI10" i="21" l="1"/>
  <c r="DJ11" i="21"/>
  <c r="DJ11" i="20"/>
  <c r="DI10" i="20"/>
  <c r="DD10" i="19"/>
  <c r="DE11" i="19"/>
  <c r="DC11" i="13"/>
  <c r="DB10" i="13"/>
  <c r="DJ10" i="20" l="1"/>
  <c r="DK11" i="20"/>
  <c r="DK11" i="21"/>
  <c r="DJ10" i="21"/>
  <c r="DF11" i="19"/>
  <c r="DE10" i="19"/>
  <c r="DD11" i="13"/>
  <c r="DC10" i="13"/>
  <c r="DK10" i="21" l="1"/>
  <c r="DL11" i="21"/>
  <c r="DL11" i="20"/>
  <c r="DK10" i="20"/>
  <c r="DG11" i="19"/>
  <c r="DF10" i="19"/>
  <c r="DE11" i="13"/>
  <c r="DD10" i="13"/>
  <c r="DL10" i="20" l="1"/>
  <c r="DM11" i="20"/>
  <c r="DM11" i="21"/>
  <c r="DL10" i="21"/>
  <c r="DH11" i="19"/>
  <c r="DG10" i="19"/>
  <c r="DE10" i="13"/>
  <c r="DF11" i="13"/>
  <c r="DN11" i="21" l="1"/>
  <c r="DM10" i="21"/>
  <c r="DN11" i="20"/>
  <c r="DM10" i="20"/>
  <c r="DI11" i="19"/>
  <c r="DH10" i="19"/>
  <c r="DG11" i="13"/>
  <c r="DF10" i="13"/>
  <c r="DN10" i="20" l="1"/>
  <c r="DO11" i="20"/>
  <c r="DO11" i="21"/>
  <c r="DN10" i="21"/>
  <c r="DJ11" i="19"/>
  <c r="DI10" i="19"/>
  <c r="DH11" i="13"/>
  <c r="DG10" i="13"/>
  <c r="DO10" i="21" l="1"/>
  <c r="DP11" i="21"/>
  <c r="DP11" i="20"/>
  <c r="DO10" i="20"/>
  <c r="DK11" i="19"/>
  <c r="DJ10" i="19"/>
  <c r="DI11" i="13"/>
  <c r="DH10" i="13"/>
  <c r="DQ11" i="20" l="1"/>
  <c r="DP10" i="20"/>
  <c r="DQ11" i="21"/>
  <c r="DP10" i="21"/>
  <c r="DL11" i="19"/>
  <c r="DK10" i="19"/>
  <c r="DI10" i="13"/>
  <c r="DJ11" i="13"/>
  <c r="DR11" i="21" l="1"/>
  <c r="DQ10" i="21"/>
  <c r="DR11" i="20"/>
  <c r="DQ10" i="20"/>
  <c r="DL10" i="19"/>
  <c r="DM11" i="19"/>
  <c r="DK11" i="13"/>
  <c r="DJ10" i="13"/>
  <c r="DR10" i="20" l="1"/>
  <c r="DS11" i="20"/>
  <c r="DS11" i="21"/>
  <c r="DR10" i="21"/>
  <c r="DN11" i="19"/>
  <c r="DM10" i="19"/>
  <c r="DK10" i="13"/>
  <c r="DL11" i="13"/>
  <c r="DS10" i="21" l="1"/>
  <c r="DT11" i="21"/>
  <c r="DT11" i="20"/>
  <c r="DS10" i="20"/>
  <c r="DO11" i="19"/>
  <c r="DN10" i="19"/>
  <c r="DM11" i="13"/>
  <c r="DL10" i="13"/>
  <c r="DT10" i="20" l="1"/>
  <c r="DU11" i="20"/>
  <c r="DT10" i="21"/>
  <c r="DU11" i="21"/>
  <c r="DP11" i="19"/>
  <c r="DO10" i="19"/>
  <c r="DM10" i="13"/>
  <c r="DN11" i="13"/>
  <c r="DU10" i="21" l="1"/>
  <c r="DV11" i="21"/>
  <c r="DV11" i="20"/>
  <c r="DU10" i="20"/>
  <c r="DQ11" i="19"/>
  <c r="DP10" i="19"/>
  <c r="DO11" i="13"/>
  <c r="DN10" i="13"/>
  <c r="DV10" i="20" l="1"/>
  <c r="DW11" i="20"/>
  <c r="DW11" i="21"/>
  <c r="DV10" i="21"/>
  <c r="DR11" i="19"/>
  <c r="DQ10" i="19"/>
  <c r="DP11" i="13"/>
  <c r="DO10" i="13"/>
  <c r="DX11" i="21" l="1"/>
  <c r="DW10" i="21"/>
  <c r="DX11" i="20"/>
  <c r="DW10" i="20"/>
  <c r="DS11" i="19"/>
  <c r="DR10" i="19"/>
  <c r="DQ11" i="13"/>
  <c r="DP10" i="13"/>
  <c r="DY11" i="20" l="1"/>
  <c r="DX10" i="20"/>
  <c r="DY11" i="21"/>
  <c r="DX10" i="21"/>
  <c r="DT11" i="19"/>
  <c r="DS10" i="19"/>
  <c r="DQ10" i="13"/>
  <c r="DR11" i="13"/>
  <c r="DZ11" i="21" l="1"/>
  <c r="DY10" i="21"/>
  <c r="DZ11" i="20"/>
  <c r="DY10" i="20"/>
  <c r="DT10" i="19"/>
  <c r="DU11" i="19"/>
  <c r="DS11" i="13"/>
  <c r="DR10" i="13"/>
  <c r="DZ10" i="20" l="1"/>
  <c r="EA11" i="20"/>
  <c r="DZ10" i="21"/>
  <c r="EA11" i="21"/>
  <c r="DV11" i="19"/>
  <c r="DU10" i="19"/>
  <c r="DS10" i="13"/>
  <c r="DT11" i="13"/>
  <c r="EB11" i="21" l="1"/>
  <c r="EA10" i="21"/>
  <c r="EB11" i="20"/>
  <c r="EA10" i="20"/>
  <c r="DW11" i="19"/>
  <c r="DV10" i="19"/>
  <c r="DU11" i="13"/>
  <c r="DT10" i="13"/>
  <c r="EB10" i="20" l="1"/>
  <c r="EC11" i="20"/>
  <c r="EC11" i="21"/>
  <c r="EB10" i="21"/>
  <c r="DX11" i="19"/>
  <c r="DW10" i="19"/>
  <c r="DU10" i="13"/>
  <c r="DV11" i="13"/>
  <c r="ED11" i="20" l="1"/>
  <c r="EC10" i="20"/>
  <c r="ED11" i="21"/>
  <c r="EC10" i="21"/>
  <c r="DY11" i="19"/>
  <c r="DX10" i="19"/>
  <c r="DW11" i="13"/>
  <c r="DV10" i="13"/>
  <c r="ED10" i="21" l="1"/>
  <c r="EE11" i="21"/>
  <c r="ED10" i="20"/>
  <c r="EE11" i="20"/>
  <c r="DZ11" i="19"/>
  <c r="DY10" i="19"/>
  <c r="DX11" i="13"/>
  <c r="DW10" i="13"/>
  <c r="EF11" i="20" l="1"/>
  <c r="EE10" i="20"/>
  <c r="EF11" i="21"/>
  <c r="EE10" i="21"/>
  <c r="DZ10" i="19"/>
  <c r="EA11" i="19"/>
  <c r="DY11" i="13"/>
  <c r="DX10" i="13"/>
  <c r="EF10" i="21" l="1"/>
  <c r="EG11" i="21"/>
  <c r="EG11" i="20"/>
  <c r="EF10" i="20"/>
  <c r="EB11" i="19"/>
  <c r="EA10" i="19"/>
  <c r="DZ11" i="13"/>
  <c r="DY10" i="13"/>
  <c r="EH11" i="20" l="1"/>
  <c r="EG10" i="20"/>
  <c r="EH11" i="21"/>
  <c r="EG10" i="21"/>
  <c r="EC11" i="19"/>
  <c r="EB10" i="19"/>
  <c r="EA11" i="13"/>
  <c r="DZ10" i="13"/>
  <c r="EI11" i="21" l="1"/>
  <c r="EH10" i="21"/>
  <c r="EH10" i="20"/>
  <c r="EI11" i="20"/>
  <c r="ED11" i="19"/>
  <c r="EC10" i="19"/>
  <c r="EA10" i="13"/>
  <c r="EB11" i="13"/>
  <c r="EJ11" i="20" l="1"/>
  <c r="EI10" i="20"/>
  <c r="EJ11" i="21"/>
  <c r="EI10" i="21"/>
  <c r="EE11" i="19"/>
  <c r="ED10" i="19"/>
  <c r="EC11" i="13"/>
  <c r="EB10" i="13"/>
  <c r="EK11" i="21" l="1"/>
  <c r="EJ10" i="21"/>
  <c r="EJ10" i="20"/>
  <c r="EK11" i="20"/>
  <c r="EF11" i="19"/>
  <c r="EE10" i="19"/>
  <c r="EC10" i="13"/>
  <c r="ED11" i="13"/>
  <c r="EL11" i="20" l="1"/>
  <c r="EK10" i="20"/>
  <c r="EK10" i="21"/>
  <c r="EL11" i="21"/>
  <c r="EF10" i="19"/>
  <c r="EG11" i="19"/>
  <c r="EE11" i="13"/>
  <c r="ED10" i="13"/>
  <c r="EM11" i="21" l="1"/>
  <c r="EL10" i="21"/>
  <c r="EL10" i="20"/>
  <c r="EM11" i="20"/>
  <c r="EH11" i="19"/>
  <c r="EG10" i="19"/>
  <c r="EF11" i="13"/>
  <c r="EE10" i="13"/>
  <c r="EN11" i="20" l="1"/>
  <c r="EM10" i="20"/>
  <c r="EN11" i="21"/>
  <c r="EM10" i="21"/>
  <c r="EI11" i="19"/>
  <c r="EH10" i="19"/>
  <c r="EG11" i="13"/>
  <c r="EF10" i="13"/>
  <c r="EO11" i="21" l="1"/>
  <c r="EN10" i="21"/>
  <c r="EO11" i="20"/>
  <c r="EN10" i="20"/>
  <c r="EJ11" i="19"/>
  <c r="EI10" i="19"/>
  <c r="EG10" i="13"/>
  <c r="EH11" i="13"/>
  <c r="EP11" i="20" l="1"/>
  <c r="EO10" i="20"/>
  <c r="EO10" i="21"/>
  <c r="EP11" i="21"/>
  <c r="EK11" i="19"/>
  <c r="EJ10" i="19"/>
  <c r="EI11" i="13"/>
  <c r="EH10" i="13"/>
  <c r="EP10" i="21" l="1"/>
  <c r="EQ11" i="21"/>
  <c r="EP10" i="20"/>
  <c r="EQ11" i="20"/>
  <c r="EL11" i="19"/>
  <c r="EK10" i="19"/>
  <c r="EI10" i="13"/>
  <c r="EJ11" i="13"/>
  <c r="ER11" i="20" l="1"/>
  <c r="EQ10" i="20"/>
  <c r="ER11" i="21"/>
  <c r="EQ10" i="21"/>
  <c r="EM11" i="19"/>
  <c r="EL10" i="19"/>
  <c r="EK11" i="13"/>
  <c r="EJ10" i="13"/>
  <c r="ES11" i="21" l="1"/>
  <c r="ER10" i="21"/>
  <c r="ER10" i="20"/>
  <c r="ES11" i="20"/>
  <c r="EM10" i="19"/>
  <c r="EN11" i="19"/>
  <c r="EK10" i="13"/>
  <c r="EL11" i="13"/>
  <c r="ET11" i="20" l="1"/>
  <c r="ES10" i="20"/>
  <c r="ET11" i="21"/>
  <c r="ES10" i="21"/>
  <c r="EO11" i="19"/>
  <c r="EN10" i="19"/>
  <c r="EL10" i="13"/>
  <c r="EM11" i="13"/>
  <c r="EU11" i="21" l="1"/>
  <c r="ET10" i="21"/>
  <c r="ET10" i="20"/>
  <c r="EU11" i="20"/>
  <c r="EP11" i="19"/>
  <c r="EO10" i="19"/>
  <c r="EN11" i="13"/>
  <c r="EM10" i="13"/>
  <c r="EV11" i="20" l="1"/>
  <c r="EU10" i="20"/>
  <c r="EV11" i="21"/>
  <c r="EU10" i="21"/>
  <c r="EP10" i="19"/>
  <c r="EQ11" i="19"/>
  <c r="EO11" i="13"/>
  <c r="EN10" i="13"/>
  <c r="EV10" i="21" l="1"/>
  <c r="EW11" i="21"/>
  <c r="EW11" i="20"/>
  <c r="EV10" i="20"/>
  <c r="ER11" i="19"/>
  <c r="EQ10" i="19"/>
  <c r="EO10" i="13"/>
  <c r="EP11" i="13"/>
  <c r="EX11" i="20" l="1"/>
  <c r="EW10" i="20"/>
  <c r="EX11" i="21"/>
  <c r="EW10" i="21"/>
  <c r="ES11" i="19"/>
  <c r="ER10" i="19"/>
  <c r="EP10" i="13"/>
  <c r="EQ11" i="13"/>
  <c r="EY11" i="21" l="1"/>
  <c r="EX10" i="21"/>
  <c r="EX10" i="20"/>
  <c r="EY11" i="20"/>
  <c r="ET11" i="19"/>
  <c r="ES10" i="19"/>
  <c r="EQ10" i="13"/>
  <c r="ER11" i="13"/>
  <c r="EZ11" i="20" l="1"/>
  <c r="EY10" i="20"/>
  <c r="EZ11" i="21"/>
  <c r="EY10" i="21"/>
  <c r="EU11" i="19"/>
  <c r="ET10" i="19"/>
  <c r="ES11" i="13"/>
  <c r="ER10" i="13"/>
  <c r="EZ10" i="21" l="1"/>
  <c r="FA11" i="21"/>
  <c r="FA11" i="20"/>
  <c r="EZ10" i="20"/>
  <c r="EU10" i="19"/>
  <c r="EV11" i="19"/>
  <c r="ET11" i="13"/>
  <c r="ES10" i="13"/>
  <c r="FB11" i="20" l="1"/>
  <c r="FA10" i="20"/>
  <c r="FA10" i="21"/>
  <c r="FB11" i="21"/>
  <c r="EV10" i="19"/>
  <c r="EW11" i="19"/>
  <c r="ET10" i="13"/>
  <c r="EU11" i="13"/>
  <c r="FC11" i="21" l="1"/>
  <c r="FB10" i="21"/>
  <c r="FB10" i="20"/>
  <c r="FC11" i="20"/>
  <c r="EX11" i="19"/>
  <c r="EW10" i="19"/>
  <c r="EU10" i="13"/>
  <c r="EV11" i="13"/>
  <c r="FD11" i="20" l="1"/>
  <c r="FC10" i="20"/>
  <c r="FD11" i="21"/>
  <c r="FC10" i="21"/>
  <c r="EY11" i="19"/>
  <c r="EX10" i="19"/>
  <c r="EV10" i="13"/>
  <c r="EW11" i="13"/>
  <c r="FE11" i="21" l="1"/>
  <c r="FD10" i="21"/>
  <c r="FE11" i="20"/>
  <c r="FD10" i="20"/>
  <c r="EZ11" i="19"/>
  <c r="EY10" i="19"/>
  <c r="EX11" i="13"/>
  <c r="EW10" i="13"/>
  <c r="FF11" i="20" l="1"/>
  <c r="FE10" i="20"/>
  <c r="FF11" i="21"/>
  <c r="FE10" i="21"/>
  <c r="FA11" i="19"/>
  <c r="EZ10" i="19"/>
  <c r="EY11" i="13"/>
  <c r="EX10" i="13"/>
  <c r="FF10" i="21" l="1"/>
  <c r="FG11" i="21"/>
  <c r="FF10" i="20"/>
  <c r="FG11" i="20"/>
  <c r="FB11" i="19"/>
  <c r="FA10" i="19"/>
  <c r="EY10" i="13"/>
  <c r="EZ11" i="13"/>
  <c r="FH11" i="21" l="1"/>
  <c r="FG10" i="21"/>
  <c r="FH11" i="20"/>
  <c r="FG10" i="20"/>
  <c r="FB10" i="19"/>
  <c r="FC11" i="19"/>
  <c r="EZ10" i="13"/>
  <c r="FA11" i="13"/>
  <c r="FH10" i="20" l="1"/>
  <c r="FI11" i="20"/>
  <c r="FI11" i="21"/>
  <c r="FH10" i="21"/>
  <c r="FD11" i="19"/>
  <c r="FC10" i="19"/>
  <c r="FA10" i="13"/>
  <c r="FB11" i="13"/>
  <c r="FJ11" i="21" l="1"/>
  <c r="FI10" i="21"/>
  <c r="FJ11" i="20"/>
  <c r="FI10" i="20"/>
  <c r="FE11" i="19"/>
  <c r="FD10" i="19"/>
  <c r="FC11" i="13"/>
  <c r="FB10" i="13"/>
  <c r="FJ10" i="21" l="1"/>
  <c r="FK11" i="21"/>
  <c r="FJ10" i="20"/>
  <c r="FK11" i="20"/>
  <c r="FF11" i="19"/>
  <c r="FE10" i="19"/>
  <c r="FC10" i="13"/>
  <c r="FD11" i="13"/>
  <c r="FL11" i="20" l="1"/>
  <c r="FK10" i="20"/>
  <c r="FL11" i="21"/>
  <c r="FK10" i="21"/>
  <c r="FG11" i="19"/>
  <c r="FF10" i="19"/>
  <c r="FE11" i="13"/>
  <c r="FD10" i="13"/>
  <c r="FL10" i="21" l="1"/>
  <c r="FM11" i="21"/>
  <c r="FM11" i="20"/>
  <c r="FL10" i="20"/>
  <c r="FH11" i="19"/>
  <c r="FG10" i="19"/>
  <c r="FE10" i="13"/>
  <c r="FF11" i="13"/>
  <c r="FN11" i="21" l="1"/>
  <c r="FM10" i="21"/>
  <c r="FN11" i="20"/>
  <c r="FM10" i="20"/>
  <c r="FH10" i="19"/>
  <c r="FI11" i="19"/>
  <c r="FG11" i="13"/>
  <c r="FF10" i="13"/>
  <c r="FN10" i="20" l="1"/>
  <c r="FO11" i="20"/>
  <c r="FO11" i="21"/>
  <c r="FN10" i="21"/>
  <c r="FJ11" i="19"/>
  <c r="FI10" i="19"/>
  <c r="FG10" i="13"/>
  <c r="FH11" i="13"/>
  <c r="FP11" i="21" l="1"/>
  <c r="FO10" i="21"/>
  <c r="FP11" i="20"/>
  <c r="FO10" i="20"/>
  <c r="FK11" i="19"/>
  <c r="FJ10" i="19"/>
  <c r="FI11" i="13"/>
  <c r="FH10" i="13"/>
  <c r="FQ11" i="20" l="1"/>
  <c r="FP10" i="20"/>
  <c r="FQ11" i="21"/>
  <c r="FP10" i="21"/>
  <c r="FL11" i="19"/>
  <c r="FK10" i="19"/>
  <c r="FJ11" i="13"/>
  <c r="FI10" i="13"/>
  <c r="FR11" i="20" l="1"/>
  <c r="FQ10" i="20"/>
  <c r="FQ10" i="21"/>
  <c r="FR11" i="21"/>
  <c r="FM11" i="19"/>
  <c r="FL10" i="19"/>
  <c r="FK11" i="13"/>
  <c r="FJ10" i="13"/>
  <c r="FS11" i="21" l="1"/>
  <c r="FR10" i="21"/>
  <c r="FR10" i="20"/>
  <c r="FS11" i="20"/>
  <c r="FN11" i="19"/>
  <c r="FM10" i="19"/>
  <c r="FK10" i="13"/>
  <c r="FL11" i="13"/>
  <c r="FT11" i="20" l="1"/>
  <c r="FS10" i="20"/>
  <c r="FT11" i="21"/>
  <c r="FS10" i="21"/>
  <c r="FO11" i="19"/>
  <c r="FN10" i="19"/>
  <c r="FM11" i="13"/>
  <c r="FL10" i="13"/>
  <c r="FU11" i="20" l="1"/>
  <c r="FT10" i="20"/>
  <c r="FU11" i="21"/>
  <c r="FT10" i="21"/>
  <c r="FP11" i="19"/>
  <c r="FO10" i="19"/>
  <c r="FN11" i="13"/>
  <c r="FM10" i="13"/>
  <c r="FU10" i="21" l="1"/>
  <c r="FV11" i="21"/>
  <c r="FV11" i="20"/>
  <c r="FU10" i="20"/>
  <c r="FP10" i="19"/>
  <c r="FQ11" i="19"/>
  <c r="FO11" i="13"/>
  <c r="FN10" i="13"/>
  <c r="FV10" i="20" l="1"/>
  <c r="FW11" i="20"/>
  <c r="FV10" i="21"/>
  <c r="FW11" i="21"/>
  <c r="FR11" i="19"/>
  <c r="FQ10" i="19"/>
  <c r="FO10" i="13"/>
  <c r="FP11" i="13"/>
  <c r="FX11" i="21" l="1"/>
  <c r="FW10" i="21"/>
  <c r="FX11" i="20"/>
  <c r="FW10" i="20"/>
  <c r="FS11" i="19"/>
  <c r="FR10" i="19"/>
  <c r="FP10" i="13"/>
  <c r="FQ11" i="13"/>
  <c r="FY11" i="21" l="1"/>
  <c r="FX10" i="21"/>
  <c r="FX10" i="20"/>
  <c r="FY11" i="20"/>
  <c r="FT11" i="19"/>
  <c r="FS10" i="19"/>
  <c r="FR11" i="13"/>
  <c r="FQ10" i="13"/>
  <c r="FZ11" i="20" l="1"/>
  <c r="FY10" i="20"/>
  <c r="FZ11" i="21"/>
  <c r="FY10" i="21"/>
  <c r="FU11" i="19"/>
  <c r="FT10" i="19"/>
  <c r="FS11" i="13"/>
  <c r="FR10" i="13"/>
  <c r="GA11" i="21" l="1"/>
  <c r="FZ10" i="21"/>
  <c r="FZ10" i="20"/>
  <c r="GA11" i="20"/>
  <c r="FV11" i="19"/>
  <c r="FU10" i="19"/>
  <c r="FS10" i="13"/>
  <c r="FT11" i="13"/>
  <c r="GB11" i="20" l="1"/>
  <c r="GA10" i="20"/>
  <c r="GB11" i="21"/>
  <c r="GA10" i="21"/>
  <c r="FW11" i="19"/>
  <c r="FV10" i="19"/>
  <c r="FT10" i="13"/>
  <c r="FU11" i="13"/>
  <c r="GB10" i="21" l="1"/>
  <c r="GC11" i="21"/>
  <c r="GC11" i="20"/>
  <c r="GB10" i="20"/>
  <c r="FX11" i="19"/>
  <c r="FW10" i="19"/>
  <c r="FV11" i="13"/>
  <c r="FU10" i="13"/>
  <c r="GD11" i="20" l="1"/>
  <c r="GC10" i="20"/>
  <c r="GD11" i="21"/>
  <c r="GC10" i="21"/>
  <c r="FX10" i="19"/>
  <c r="FY11" i="19"/>
  <c r="FV10" i="13"/>
  <c r="FW11" i="13"/>
  <c r="GE11" i="21" l="1"/>
  <c r="GD10" i="21"/>
  <c r="GD10" i="20"/>
  <c r="GE11" i="20"/>
  <c r="FZ11" i="19"/>
  <c r="FY10" i="19"/>
  <c r="FX11" i="13"/>
  <c r="FW10" i="13"/>
  <c r="GF11" i="20" l="1"/>
  <c r="GE10" i="20"/>
  <c r="GF11" i="21"/>
  <c r="GE10" i="21"/>
  <c r="GA11" i="19"/>
  <c r="FZ10" i="19"/>
  <c r="FX10" i="13"/>
  <c r="FY11" i="13"/>
  <c r="GF10" i="21" l="1"/>
  <c r="GG11" i="21"/>
  <c r="GF10" i="20"/>
  <c r="GG11" i="20"/>
  <c r="GB11" i="19"/>
  <c r="GA10" i="19"/>
  <c r="FZ11" i="13"/>
  <c r="FY10" i="13"/>
  <c r="GH11" i="20" l="1"/>
  <c r="GG10" i="20"/>
  <c r="GG10" i="21"/>
  <c r="GH11" i="21"/>
  <c r="GC11" i="19"/>
  <c r="GB10" i="19"/>
  <c r="FZ10" i="13"/>
  <c r="GA11" i="13"/>
  <c r="GI11" i="21" l="1"/>
  <c r="GH10" i="21"/>
  <c r="GH10" i="20"/>
  <c r="GI11" i="20"/>
  <c r="GD11" i="19"/>
  <c r="GC10" i="19"/>
  <c r="GA10" i="13"/>
  <c r="GB11" i="13"/>
  <c r="GJ11" i="20" l="1"/>
  <c r="GI10" i="20"/>
  <c r="GJ11" i="21"/>
  <c r="GI10" i="21"/>
  <c r="GD10" i="19"/>
  <c r="GE11" i="19"/>
  <c r="GB10" i="13"/>
  <c r="GC11" i="13"/>
  <c r="GK11" i="21" l="1"/>
  <c r="GJ10" i="21"/>
  <c r="GK11" i="20"/>
  <c r="GJ10" i="20"/>
  <c r="GF11" i="19"/>
  <c r="GE10" i="19"/>
  <c r="GC10" i="13"/>
  <c r="GD11" i="13"/>
  <c r="GL11" i="20" l="1"/>
  <c r="GK10" i="20"/>
  <c r="GL11" i="21"/>
  <c r="GK10" i="21"/>
  <c r="GF10" i="19"/>
  <c r="GG11" i="19"/>
  <c r="GD10" i="13"/>
  <c r="GE11" i="13"/>
  <c r="GL10" i="21" l="1"/>
  <c r="GM11" i="21"/>
  <c r="GL10" i="20"/>
  <c r="GM11" i="20"/>
  <c r="GH11" i="19"/>
  <c r="GG10" i="19"/>
  <c r="GF11" i="13"/>
  <c r="GE10" i="13"/>
  <c r="GN11" i="20" l="1"/>
  <c r="GM10" i="20"/>
  <c r="GN11" i="21"/>
  <c r="GM10" i="21"/>
  <c r="GI11" i="19"/>
  <c r="GH10" i="19"/>
  <c r="GF10" i="13"/>
  <c r="GG11" i="13"/>
  <c r="GO11" i="21" l="1"/>
  <c r="GN10" i="21"/>
  <c r="GN10" i="20"/>
  <c r="GO11" i="20"/>
  <c r="GJ11" i="19"/>
  <c r="GI10" i="19"/>
  <c r="GH11" i="13"/>
  <c r="GG10" i="13"/>
  <c r="GP11" i="20" l="1"/>
  <c r="GO10" i="20"/>
  <c r="GP11" i="21"/>
  <c r="GO10" i="21"/>
  <c r="GK11" i="19"/>
  <c r="GJ10" i="19"/>
  <c r="GH10" i="13"/>
  <c r="GI11" i="13"/>
  <c r="GP10" i="21" l="1"/>
  <c r="GQ11" i="21"/>
  <c r="GP10" i="20"/>
  <c r="GQ11" i="20"/>
  <c r="GL11" i="19"/>
  <c r="GK10" i="19"/>
  <c r="GI10" i="13"/>
  <c r="GJ11" i="13"/>
  <c r="GR11" i="20" l="1"/>
  <c r="GQ10" i="20"/>
  <c r="GR11" i="21"/>
  <c r="GQ10" i="21"/>
  <c r="GL10" i="19"/>
  <c r="GM11" i="19"/>
  <c r="GJ10" i="13"/>
  <c r="GK11" i="13"/>
  <c r="GR10" i="21" l="1"/>
  <c r="GS11" i="21"/>
  <c r="GS11" i="20"/>
  <c r="GR10" i="20"/>
  <c r="GN11" i="19"/>
  <c r="GM10" i="19"/>
  <c r="GL11" i="13"/>
  <c r="GK10" i="13"/>
  <c r="GT11" i="21" l="1"/>
  <c r="GS10" i="21"/>
  <c r="GT11" i="20"/>
  <c r="GS10" i="20"/>
  <c r="GO11" i="19"/>
  <c r="GN10" i="19"/>
  <c r="GL10" i="13"/>
  <c r="GM11" i="13"/>
  <c r="GT10" i="20" l="1"/>
  <c r="GU11" i="20"/>
  <c r="GU11" i="21"/>
  <c r="GT10" i="21"/>
  <c r="GP11" i="19"/>
  <c r="GO10" i="19"/>
  <c r="GN11" i="13"/>
  <c r="GM10" i="13"/>
  <c r="GV11" i="21" l="1"/>
  <c r="GU10" i="21"/>
  <c r="GV11" i="20"/>
  <c r="GU10" i="20"/>
  <c r="GQ11" i="19"/>
  <c r="GP10" i="19"/>
  <c r="GN10" i="13"/>
  <c r="GO11" i="13"/>
  <c r="GW11" i="20" l="1"/>
  <c r="GV10" i="20"/>
  <c r="GW11" i="21"/>
  <c r="GV10" i="21"/>
  <c r="GR11" i="19"/>
  <c r="GQ10" i="19"/>
  <c r="GP11" i="13"/>
  <c r="GO10" i="13"/>
  <c r="GW10" i="21" l="1"/>
  <c r="GX11" i="21"/>
  <c r="GX11" i="20"/>
  <c r="GW10" i="20"/>
  <c r="GR10" i="19"/>
  <c r="GS11" i="19"/>
  <c r="GQ11" i="13"/>
  <c r="GP10" i="13"/>
  <c r="GX10" i="20" l="1"/>
  <c r="GY11" i="20"/>
  <c r="GY11" i="21"/>
  <c r="GX10" i="21"/>
  <c r="GT11" i="19"/>
  <c r="GS10" i="19"/>
  <c r="GQ10" i="13"/>
  <c r="GR11" i="13"/>
  <c r="GZ11" i="21" l="1"/>
  <c r="GY10" i="21"/>
  <c r="GZ11" i="20"/>
  <c r="GY10" i="20"/>
  <c r="GU11" i="19"/>
  <c r="GT10" i="19"/>
  <c r="GS11" i="13"/>
  <c r="GR10" i="13"/>
  <c r="HA11" i="20" l="1"/>
  <c r="GZ10" i="20"/>
  <c r="HA11" i="21"/>
  <c r="GZ10" i="21"/>
  <c r="GV11" i="19"/>
  <c r="GU10" i="19"/>
  <c r="GT11" i="13"/>
  <c r="GS10" i="13"/>
  <c r="HA10" i="21" l="1"/>
  <c r="HB11" i="21"/>
  <c r="HB11" i="20"/>
  <c r="HA10" i="20"/>
  <c r="GW11" i="19"/>
  <c r="GV10" i="19"/>
  <c r="GU11" i="13"/>
  <c r="GT10" i="13"/>
  <c r="HB10" i="20" l="1"/>
  <c r="HC11" i="20"/>
  <c r="HB10" i="21"/>
  <c r="HC11" i="21"/>
  <c r="GX11" i="19"/>
  <c r="GW10" i="19"/>
  <c r="GU10" i="13"/>
  <c r="GV11" i="13"/>
  <c r="HD11" i="21" l="1"/>
  <c r="HC10" i="21"/>
  <c r="HD11" i="20"/>
  <c r="HC10" i="20"/>
  <c r="GY11" i="19"/>
  <c r="GX10" i="19"/>
  <c r="GV10" i="13"/>
  <c r="GW11" i="13"/>
  <c r="HD10" i="20" l="1"/>
  <c r="HE11" i="20"/>
  <c r="HE11" i="21"/>
  <c r="HD10" i="21"/>
  <c r="GY10" i="19"/>
  <c r="GZ11" i="19"/>
  <c r="GX11" i="13"/>
  <c r="GW10" i="13"/>
  <c r="HF11" i="21" l="1"/>
  <c r="HE10" i="21"/>
  <c r="HF11" i="20"/>
  <c r="HE10" i="20"/>
  <c r="HA11" i="19"/>
  <c r="GZ10" i="19"/>
  <c r="GX10" i="13"/>
  <c r="GY11" i="13"/>
  <c r="HF10" i="20" l="1"/>
  <c r="HG11" i="20"/>
  <c r="HG11" i="21"/>
  <c r="HF10" i="21"/>
  <c r="HB11" i="19"/>
  <c r="HA10" i="19"/>
  <c r="GZ11" i="13"/>
  <c r="GY10" i="13"/>
  <c r="HH11" i="21" l="1"/>
  <c r="HG10" i="21"/>
  <c r="HH11" i="20"/>
  <c r="HG10" i="20"/>
  <c r="HC11" i="19"/>
  <c r="HB10" i="19"/>
  <c r="GZ10" i="13"/>
  <c r="HA11" i="13"/>
  <c r="HI11" i="20" l="1"/>
  <c r="HH10" i="20"/>
  <c r="HH10" i="21"/>
  <c r="HI11" i="21"/>
  <c r="HD11" i="19"/>
  <c r="HC10" i="19"/>
  <c r="HB11" i="13"/>
  <c r="HA10" i="13"/>
  <c r="HJ11" i="21" l="1"/>
  <c r="HI10" i="21"/>
  <c r="HJ11" i="20"/>
  <c r="HI10" i="20"/>
  <c r="HE11" i="19"/>
  <c r="HD10" i="19"/>
  <c r="HB10" i="13"/>
  <c r="HC11" i="13"/>
  <c r="HJ10" i="20" l="1"/>
  <c r="HK11" i="20"/>
  <c r="HK11" i="21"/>
  <c r="HJ10" i="21"/>
  <c r="HF11" i="19"/>
  <c r="HE10" i="19"/>
  <c r="HC10" i="13"/>
  <c r="HD11" i="13"/>
  <c r="HL11" i="21" l="1"/>
  <c r="HK10" i="21"/>
  <c r="HL11" i="20"/>
  <c r="HK10" i="20"/>
  <c r="HG11" i="19"/>
  <c r="HF10" i="19"/>
  <c r="HD10" i="13"/>
  <c r="HE11" i="13"/>
  <c r="HM11" i="20" l="1"/>
  <c r="HL10" i="20"/>
  <c r="HL10" i="21"/>
  <c r="HM11" i="21"/>
  <c r="HG10" i="19"/>
  <c r="HH11" i="19"/>
  <c r="HF11" i="13"/>
  <c r="HE10" i="13"/>
  <c r="HM10" i="21" l="1"/>
  <c r="HN11" i="21"/>
  <c r="HN11" i="20"/>
  <c r="HM10" i="20"/>
  <c r="HH10" i="19"/>
  <c r="HI11" i="19"/>
  <c r="HF10" i="13"/>
  <c r="HG11" i="13"/>
  <c r="HO11" i="21" l="1"/>
  <c r="HN10" i="21"/>
  <c r="HN10" i="20"/>
  <c r="HO11" i="20"/>
  <c r="HJ11" i="19"/>
  <c r="HI10" i="19"/>
  <c r="HH11" i="13"/>
  <c r="HG10" i="13"/>
  <c r="HP11" i="20" l="1"/>
  <c r="HO10" i="20"/>
  <c r="HP11" i="21"/>
  <c r="HO10" i="21"/>
  <c r="HK11" i="19"/>
  <c r="HJ10" i="19"/>
  <c r="HH10" i="13"/>
  <c r="HI11" i="13"/>
  <c r="HQ11" i="21" l="1"/>
  <c r="HP10" i="21"/>
  <c r="HQ11" i="20"/>
  <c r="HP10" i="20"/>
  <c r="HL11" i="19"/>
  <c r="HK10" i="19"/>
  <c r="HJ11" i="13"/>
  <c r="HI10" i="13"/>
  <c r="HR11" i="20" l="1"/>
  <c r="HQ10" i="20"/>
  <c r="HR11" i="21"/>
  <c r="HQ10" i="21"/>
  <c r="HM11" i="19"/>
  <c r="HL10" i="19"/>
  <c r="HK11" i="13"/>
  <c r="HJ10" i="13"/>
  <c r="HR10" i="21" l="1"/>
  <c r="HS11" i="21"/>
  <c r="HR10" i="20"/>
  <c r="HS11" i="20"/>
  <c r="HN11" i="19"/>
  <c r="HM10" i="19"/>
  <c r="HK10" i="13"/>
  <c r="HL11" i="13"/>
  <c r="HT11" i="20" l="1"/>
  <c r="HS10" i="20"/>
  <c r="HT11" i="21"/>
  <c r="HS10" i="21"/>
  <c r="HO11" i="19"/>
  <c r="HN10" i="19"/>
  <c r="HL10" i="13"/>
  <c r="HM11" i="13"/>
  <c r="HU11" i="21" l="1"/>
  <c r="HT10" i="21"/>
  <c r="HT10" i="20"/>
  <c r="HU11" i="20"/>
  <c r="HP11" i="19"/>
  <c r="HO10" i="19"/>
  <c r="HN11" i="13"/>
  <c r="HM10" i="13"/>
  <c r="HV11" i="20" l="1"/>
  <c r="HU10" i="20"/>
  <c r="HV11" i="21"/>
  <c r="HU10" i="21"/>
  <c r="HQ11" i="19"/>
  <c r="HP10" i="19"/>
  <c r="HN10" i="13"/>
  <c r="HO11" i="13"/>
  <c r="HV10" i="21" l="1"/>
  <c r="HW11" i="21"/>
  <c r="HV10" i="20"/>
  <c r="HW11" i="20"/>
  <c r="HR11" i="19"/>
  <c r="HQ10" i="19"/>
  <c r="HO10" i="13"/>
  <c r="HP11" i="13"/>
  <c r="HX11" i="20" l="1"/>
  <c r="HW10" i="20"/>
  <c r="HX11" i="21"/>
  <c r="HW10" i="21"/>
  <c r="HS11" i="19"/>
  <c r="HR10" i="19"/>
  <c r="HP10" i="13"/>
  <c r="HQ11" i="13"/>
  <c r="HX10" i="21" l="1"/>
  <c r="HY11" i="21"/>
  <c r="HY11" i="20"/>
  <c r="HX10" i="20"/>
  <c r="HT11" i="19"/>
  <c r="HS10" i="19"/>
  <c r="HR11" i="13"/>
  <c r="HQ10" i="13"/>
  <c r="HZ11" i="20" l="1"/>
  <c r="HY10" i="20"/>
  <c r="HZ11" i="21"/>
  <c r="HY10" i="21"/>
  <c r="HT10" i="19"/>
  <c r="HU11" i="19"/>
  <c r="HR10" i="13"/>
  <c r="HS11" i="13"/>
  <c r="IA11" i="21" l="1"/>
  <c r="HZ10" i="21"/>
  <c r="HZ10" i="20"/>
  <c r="IA11" i="20"/>
  <c r="HV11" i="19"/>
  <c r="HU10" i="19"/>
  <c r="HS10" i="13"/>
  <c r="HT11" i="13"/>
  <c r="IB11" i="20" l="1"/>
  <c r="IA10" i="20"/>
  <c r="IB11" i="21"/>
  <c r="IA10" i="21"/>
  <c r="HW11" i="19"/>
  <c r="HV10" i="19"/>
  <c r="HU11" i="13"/>
  <c r="HT10" i="13"/>
  <c r="IB10" i="21" l="1"/>
  <c r="IC11" i="21"/>
  <c r="IC11" i="20"/>
  <c r="IB10" i="20"/>
  <c r="HW10" i="19"/>
  <c r="HX11" i="19"/>
  <c r="HU10" i="13"/>
  <c r="HV11" i="13"/>
  <c r="ID11" i="20" l="1"/>
  <c r="IC10" i="20"/>
  <c r="IC10" i="21"/>
  <c r="ID11" i="21"/>
  <c r="HY11" i="19"/>
  <c r="HX10" i="19"/>
  <c r="HV10" i="13"/>
  <c r="HW11" i="13"/>
  <c r="IE11" i="21" l="1"/>
  <c r="ID10" i="21"/>
  <c r="ID10" i="20"/>
  <c r="IE11" i="20"/>
  <c r="HZ11" i="19"/>
  <c r="HY10" i="19"/>
  <c r="HW10" i="13"/>
  <c r="HX11" i="13"/>
  <c r="IF11" i="20" l="1"/>
  <c r="IE10" i="20"/>
  <c r="IF11" i="21"/>
  <c r="IE10" i="21"/>
  <c r="IA11" i="19"/>
  <c r="HZ10" i="19"/>
  <c r="HX10" i="13"/>
  <c r="HY11" i="13"/>
  <c r="IG11" i="21" l="1"/>
  <c r="IF10" i="21"/>
  <c r="IG11" i="20"/>
  <c r="IF10" i="20"/>
  <c r="IB11" i="19"/>
  <c r="IA10" i="19"/>
  <c r="HY10" i="13"/>
  <c r="HZ11" i="13"/>
  <c r="IH11" i="20" l="1"/>
  <c r="IG10" i="20"/>
  <c r="IG10" i="21"/>
  <c r="IH11" i="21"/>
  <c r="IB10" i="19"/>
  <c r="IC11" i="19"/>
  <c r="IA11" i="13"/>
  <c r="HZ10" i="13"/>
  <c r="II11" i="21" l="1"/>
  <c r="IH10" i="21"/>
  <c r="IH10" i="20"/>
  <c r="II11" i="20"/>
  <c r="ID11" i="19"/>
  <c r="IC10" i="19"/>
  <c r="IB11" i="13"/>
  <c r="IA10" i="13"/>
  <c r="IJ11" i="20" l="1"/>
  <c r="II10" i="20"/>
  <c r="IJ11" i="21"/>
  <c r="II10" i="21"/>
  <c r="ID10" i="19"/>
  <c r="IE11" i="19"/>
  <c r="IB10" i="13"/>
  <c r="IC11" i="13"/>
  <c r="IJ10" i="20" l="1"/>
  <c r="IK11" i="20"/>
  <c r="IK11" i="21"/>
  <c r="IJ10" i="21"/>
  <c r="IF11" i="19"/>
  <c r="IE10" i="19"/>
  <c r="IC10" i="13"/>
  <c r="ID11" i="13"/>
  <c r="IL11" i="21" l="1"/>
  <c r="IK10" i="21"/>
  <c r="IL11" i="20"/>
  <c r="IK10" i="20"/>
  <c r="IG11" i="19"/>
  <c r="IF10" i="19"/>
  <c r="ID10" i="13"/>
  <c r="IE11" i="13"/>
  <c r="IL10" i="20" l="1"/>
  <c r="IM11" i="20"/>
  <c r="IM11" i="21"/>
  <c r="IL10" i="21"/>
  <c r="IH11" i="19"/>
  <c r="IG10" i="19"/>
  <c r="IE10" i="13"/>
  <c r="IF11" i="13"/>
  <c r="IN11" i="21" l="1"/>
  <c r="IM10" i="21"/>
  <c r="IN11" i="20"/>
  <c r="IM10" i="20"/>
  <c r="IH10" i="19"/>
  <c r="II11" i="19"/>
  <c r="IF10" i="13"/>
  <c r="IG11" i="13"/>
  <c r="IO11" i="20" l="1"/>
  <c r="IN10" i="20"/>
  <c r="IN10" i="21"/>
  <c r="IO11" i="21"/>
  <c r="II10" i="19"/>
  <c r="IJ11" i="19"/>
  <c r="IH11" i="13"/>
  <c r="IG10" i="13"/>
  <c r="IP11" i="21" l="1"/>
  <c r="IO10" i="21"/>
  <c r="IP11" i="20"/>
  <c r="IO10" i="20"/>
  <c r="IJ10" i="19"/>
  <c r="IK11" i="19"/>
  <c r="IH10" i="13"/>
  <c r="II11" i="13"/>
  <c r="IP10" i="20" l="1"/>
  <c r="IQ11" i="20"/>
  <c r="IQ11" i="21"/>
  <c r="IP10" i="21"/>
  <c r="IL11" i="19"/>
  <c r="IK10" i="19"/>
  <c r="IJ11" i="13"/>
  <c r="II10" i="13"/>
  <c r="IR11" i="21" l="1"/>
  <c r="IQ10" i="21"/>
  <c r="IR11" i="20"/>
  <c r="IQ10" i="20"/>
  <c r="IM11" i="19"/>
  <c r="IL10" i="19"/>
  <c r="IJ10" i="13"/>
  <c r="IK11" i="13"/>
  <c r="IS11" i="20" l="1"/>
  <c r="IR10" i="20"/>
  <c r="IR10" i="21"/>
  <c r="IS11" i="21"/>
  <c r="IN11" i="19"/>
  <c r="IM10" i="19"/>
  <c r="IL11" i="13"/>
  <c r="IK10" i="13"/>
  <c r="IT11" i="21" l="1"/>
  <c r="IS10" i="21"/>
  <c r="IT11" i="20"/>
  <c r="IS10" i="20"/>
  <c r="IO11" i="19"/>
  <c r="IN10" i="19"/>
  <c r="IL10" i="13"/>
  <c r="IM11" i="13"/>
  <c r="IT10" i="20" l="1"/>
  <c r="IU11" i="20"/>
  <c r="IU11" i="21"/>
  <c r="IT10" i="21"/>
  <c r="IP11" i="19"/>
  <c r="IO10" i="19"/>
  <c r="IM10" i="13"/>
  <c r="IN11" i="13"/>
  <c r="IV11" i="21" l="1"/>
  <c r="IU10" i="21"/>
  <c r="IV11" i="20"/>
  <c r="IU10" i="20"/>
  <c r="IP10" i="19"/>
  <c r="IQ11" i="19"/>
  <c r="IN10" i="13"/>
  <c r="IO11" i="13"/>
  <c r="IW11" i="20" l="1"/>
  <c r="IV10" i="20"/>
  <c r="IW11" i="21"/>
  <c r="IV10" i="21"/>
  <c r="IR11" i="19"/>
  <c r="IQ10" i="19"/>
  <c r="IP11" i="13"/>
  <c r="IO10" i="13"/>
  <c r="IX11" i="21" l="1"/>
  <c r="IW10" i="21"/>
  <c r="IX11" i="20"/>
  <c r="IW10" i="20"/>
  <c r="IR10" i="19"/>
  <c r="IS11" i="19"/>
  <c r="IP10" i="13"/>
  <c r="IQ11" i="13"/>
  <c r="IX10" i="20" l="1"/>
  <c r="IY11" i="20"/>
  <c r="IY11" i="21"/>
  <c r="IX10" i="21"/>
  <c r="IT11" i="19"/>
  <c r="IS10" i="19"/>
  <c r="IQ10" i="13"/>
  <c r="IR11" i="13"/>
  <c r="IZ11" i="21" l="1"/>
  <c r="IY10" i="21"/>
  <c r="IZ11" i="20"/>
  <c r="IY10" i="20"/>
  <c r="IT10" i="19"/>
  <c r="IU11" i="19"/>
  <c r="IR10" i="13"/>
  <c r="IS11" i="13"/>
  <c r="IZ10" i="20" l="1"/>
  <c r="JA11" i="20"/>
  <c r="JA11" i="21"/>
  <c r="IZ10" i="21"/>
  <c r="IV11" i="19"/>
  <c r="IU10" i="19"/>
  <c r="IT11" i="13"/>
  <c r="IS10" i="13"/>
  <c r="JB11" i="20" l="1"/>
  <c r="JA10" i="20"/>
  <c r="JB11" i="21"/>
  <c r="JA10" i="21"/>
  <c r="IW11" i="19"/>
  <c r="IV10" i="19"/>
  <c r="IT10" i="13"/>
  <c r="IU11" i="13"/>
  <c r="JB10" i="21" l="1"/>
  <c r="JC11" i="21"/>
  <c r="JB10" i="20"/>
  <c r="JC11" i="20"/>
  <c r="IX11" i="19"/>
  <c r="IW10" i="19"/>
  <c r="IV11" i="13"/>
  <c r="IU10" i="13"/>
  <c r="JD11" i="20" l="1"/>
  <c r="JC10" i="20"/>
  <c r="JD11" i="21"/>
  <c r="JC10" i="21"/>
  <c r="IX10" i="19"/>
  <c r="IY11" i="19"/>
  <c r="IV10" i="13"/>
  <c r="IW11" i="13"/>
  <c r="JE11" i="20" l="1"/>
  <c r="JD10" i="20"/>
  <c r="JD10" i="21"/>
  <c r="JE11" i="21"/>
  <c r="IY10" i="19"/>
  <c r="IZ11" i="19"/>
  <c r="IX11" i="13"/>
  <c r="IW10" i="13"/>
  <c r="JF11" i="21" l="1"/>
  <c r="JE10" i="21"/>
  <c r="JF11" i="20"/>
  <c r="JE10" i="20"/>
  <c r="JA11" i="19"/>
  <c r="IZ10" i="19"/>
  <c r="IX10" i="13"/>
  <c r="IY11" i="13"/>
  <c r="JF10" i="20" l="1"/>
  <c r="JG11" i="20"/>
  <c r="JG11" i="21"/>
  <c r="JF10" i="21"/>
  <c r="JB11" i="19"/>
  <c r="JA10" i="19"/>
  <c r="IY10" i="13"/>
  <c r="IZ11" i="13"/>
  <c r="JH11" i="21" l="1"/>
  <c r="JG10" i="21"/>
  <c r="JH11" i="20"/>
  <c r="JG10" i="20"/>
  <c r="JC11" i="19"/>
  <c r="JB10" i="19"/>
  <c r="IZ10" i="13"/>
  <c r="JA11" i="13"/>
  <c r="JI11" i="20" l="1"/>
  <c r="JH10" i="20"/>
  <c r="JH10" i="21"/>
  <c r="JI11" i="21"/>
  <c r="JD11" i="19"/>
  <c r="JC10" i="19"/>
  <c r="JA10" i="13"/>
  <c r="JB11" i="13"/>
  <c r="JI10" i="21" l="1"/>
  <c r="JJ11" i="21"/>
  <c r="JJ10" i="21" s="1"/>
  <c r="JJ11" i="20"/>
  <c r="JJ10" i="20" s="1"/>
  <c r="JI10" i="20"/>
  <c r="JD10" i="19"/>
  <c r="JE11" i="19"/>
  <c r="JB10" i="13"/>
  <c r="JC11" i="13"/>
  <c r="JF11" i="19" l="1"/>
  <c r="JE10" i="19"/>
  <c r="JC10" i="13"/>
  <c r="JD11" i="13"/>
  <c r="JF10" i="19" l="1"/>
  <c r="JG11" i="19"/>
  <c r="JD10" i="13"/>
  <c r="JE11" i="13"/>
  <c r="JH11" i="19" l="1"/>
  <c r="JG10" i="19"/>
  <c r="JE10" i="13"/>
  <c r="JF11" i="13"/>
  <c r="JI11" i="19" l="1"/>
  <c r="JH10" i="19"/>
  <c r="JF10" i="13"/>
  <c r="JG11" i="13"/>
  <c r="JJ11" i="19" l="1"/>
  <c r="JJ10" i="19" s="1"/>
  <c r="JI10" i="19"/>
  <c r="JH11" i="13"/>
  <c r="JG10" i="13"/>
  <c r="JH10" i="13" l="1"/>
  <c r="JI11" i="13"/>
  <c r="JI10" i="13" l="1"/>
  <c r="JJ11" i="13"/>
  <c r="JJ10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<sst xmlns="http://schemas.openxmlformats.org/spreadsheetml/2006/main" count="277" uniqueCount="110">
  <si>
    <t>JAN</t>
  </si>
  <si>
    <t>FEB</t>
  </si>
  <si>
    <t>MAR</t>
  </si>
  <si>
    <t>APR</t>
  </si>
  <si>
    <t>MAY</t>
  </si>
  <si>
    <t>JUN</t>
  </si>
  <si>
    <t>AUG</t>
  </si>
  <si>
    <t>SEP</t>
  </si>
  <si>
    <t>OCT</t>
  </si>
  <si>
    <t>NOV</t>
  </si>
  <si>
    <t>DEC</t>
  </si>
  <si>
    <t>JUL</t>
  </si>
  <si>
    <t>Revenue</t>
  </si>
  <si>
    <t>Cost</t>
  </si>
  <si>
    <t>Total</t>
  </si>
  <si>
    <t>Jan</t>
  </si>
  <si>
    <t>Feb</t>
  </si>
  <si>
    <t>Start Month (Gnatt)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</si>
  <si>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</si>
  <si>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</si>
  <si>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</si>
  <si>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</si>
  <si>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</si>
  <si>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</si>
  <si>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</si>
  <si>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</si>
  <si>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</si>
  <si>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</si>
  <si>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Client</t>
  </si>
  <si>
    <t>QTY.</t>
  </si>
  <si>
    <t>Order #</t>
  </si>
  <si>
    <t>Amount</t>
  </si>
  <si>
    <t>ORDER #</t>
  </si>
  <si>
    <t>CLIENT</t>
  </si>
  <si>
    <t>ITEM</t>
  </si>
  <si>
    <t>DATE</t>
  </si>
  <si>
    <t>ORDER TRACKER</t>
  </si>
  <si>
    <t>ID</t>
  </si>
  <si>
    <t>AMOUNT</t>
  </si>
  <si>
    <t>QUANTITY</t>
  </si>
  <si>
    <t>Wrench</t>
  </si>
  <si>
    <t>DAY:</t>
  </si>
  <si>
    <t>TOTALS</t>
  </si>
  <si>
    <t>Order Chart</t>
  </si>
  <si>
    <t>PRODUCT</t>
  </si>
  <si>
    <t>DATE:</t>
  </si>
  <si>
    <t>Order Totals</t>
  </si>
  <si>
    <t>ITEAM PRICES</t>
  </si>
  <si>
    <t>ITEAM NAME</t>
  </si>
  <si>
    <t>PRICE</t>
  </si>
  <si>
    <t>#</t>
  </si>
  <si>
    <t>WRENCH</t>
  </si>
  <si>
    <t>HAMMER</t>
  </si>
  <si>
    <t>BUZZSAW</t>
  </si>
  <si>
    <t>SCREWDRIVER</t>
  </si>
  <si>
    <t>NAILS</t>
  </si>
  <si>
    <t>MEASURING TAPE</t>
  </si>
  <si>
    <t>SALES TRACKER</t>
  </si>
  <si>
    <t>MONTHLY REVENUE</t>
  </si>
  <si>
    <t>Work Journal Entries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</si>
  <si>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</si>
  <si>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</si>
  <si>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</si>
  <si>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</si>
  <si>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</si>
  <si>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</si>
  <si>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</si>
  <si>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</si>
  <si>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</si>
  <si>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</si>
  <si>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</si>
  <si>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Client 1</t>
  </si>
  <si>
    <t>Client 2</t>
  </si>
  <si>
    <t>Client 3</t>
  </si>
  <si>
    <t>ADD NEW CLIENT</t>
  </si>
  <si>
    <t>MONTH BOX</t>
  </si>
  <si>
    <t>DAY BOX</t>
  </si>
  <si>
    <t>YEAR BOX</t>
  </si>
  <si>
    <t>CLIENT BOX</t>
  </si>
  <si>
    <t>INDEX</t>
  </si>
  <si>
    <t>CELL LINK</t>
  </si>
  <si>
    <t>ITEM BOX</t>
  </si>
  <si>
    <t>QTY AMOUNT</t>
  </si>
  <si>
    <t>AMT</t>
  </si>
  <si>
    <t>ADD NEW CLIENT #</t>
  </si>
  <si>
    <t>FIND NEW</t>
  </si>
  <si>
    <t>Client 1 - Order Chart</t>
  </si>
  <si>
    <t>Client 1 - Order Totals</t>
  </si>
  <si>
    <t>Insert Row</t>
  </si>
  <si>
    <t>CLIENT NAME</t>
  </si>
  <si>
    <t>CLIENT ID</t>
  </si>
  <si>
    <t>ORDER CHART ROW</t>
  </si>
  <si>
    <t xml:space="preserve">Daily Sales Tracker </t>
  </si>
  <si>
    <t>Data Input Row</t>
  </si>
  <si>
    <t># of Rows</t>
  </si>
  <si>
    <t>STOP ROW</t>
  </si>
  <si>
    <t>COST</t>
  </si>
  <si>
    <t xml:space="preserve">Number of Rows to Add/Trim </t>
  </si>
  <si>
    <t>CLIENT PAGE CLICKED</t>
  </si>
  <si>
    <t>ORDER # CLICKED</t>
  </si>
  <si>
    <t>Row</t>
  </si>
  <si>
    <t>Client Page</t>
  </si>
  <si>
    <t>ORDER Clicked Col. G</t>
  </si>
  <si>
    <t>Row Selected</t>
  </si>
  <si>
    <t>LAST ROW</t>
  </si>
  <si>
    <t>Client 3 - Order Chart</t>
  </si>
  <si>
    <t>Client 2 - Order Chart</t>
  </si>
  <si>
    <t>Client 2 - Order Totals</t>
  </si>
  <si>
    <t>Client 3 - Order Totals</t>
  </si>
  <si>
    <r>
      <t xml:space="preserve">CLIENT
</t>
    </r>
    <r>
      <rPr>
        <b/>
        <sz val="12"/>
        <color theme="0"/>
        <rFont val="Aptos Narrow (Body)"/>
      </rPr>
      <t>(select to see sheet)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</si>
</sst>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\-d"/>
    <numFmt numFmtId="165" formatCode="ddd"/>
    <numFmt numFmtId="166" formatCode="&quot;$&quot;#,##0.00"/>
  </numFmts>
  <fonts count="41" x14ac:knownFonts="1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3" tint="0.249977111117893"/>
      <name val="Aptos Narrow"/>
      <family val="2"/>
      <scheme val="minor"/>
    </font>
    <font>
      <b/>
      <sz val="22"/>
      <color theme="3" tint="0.249977111117893"/>
      <name val="Aptos Narrow"/>
      <scheme val="minor"/>
    </font>
    <font>
      <b/>
      <sz val="18"/>
      <color theme="3" tint="0.249977111117893"/>
      <name val="Aptos Narrow"/>
      <scheme val="minor"/>
    </font>
    <font>
      <b/>
      <sz val="18"/>
      <color theme="0"/>
      <name val="Aptos Narrow"/>
      <scheme val="minor"/>
    </font>
    <font>
      <b/>
      <sz val="22"/>
      <color theme="0"/>
      <name val="Aptos Narrow"/>
      <scheme val="minor"/>
    </font>
    <font>
      <b/>
      <sz val="16"/>
      <color theme="0"/>
      <name val="Aptos Narrow"/>
      <scheme val="minor"/>
    </font>
    <font>
      <b/>
      <sz val="48"/>
      <color theme="0"/>
      <name val="Aptos Narrow"/>
      <scheme val="minor"/>
    </font>
    <font>
      <b/>
      <sz val="24"/>
      <color theme="0"/>
      <name val="Aptos Narrow"/>
      <scheme val="minor"/>
    </font>
    <font>
      <b/>
      <sz val="15"/>
      <color theme="0"/>
      <name val="Aptos Narrow"/>
      <scheme val="minor"/>
    </font>
    <font>
      <b/>
      <sz val="13"/>
      <color theme="0"/>
      <name val="Aptos Narrow"/>
      <scheme val="minor"/>
    </font>
    <font>
      <sz val="13"/>
      <color theme="0"/>
      <name val="Aptos Narrow"/>
      <family val="2"/>
      <scheme val="minor"/>
    </font>
    <font>
      <b/>
      <i/>
      <u/>
      <sz val="32"/>
      <color theme="0"/>
      <name val="Aptos Narrow"/>
      <scheme val="minor"/>
    </font>
    <font>
      <b/>
      <sz val="16"/>
      <color theme="3" tint="0.249977111117893"/>
      <name val="Aptos Narrow"/>
      <scheme val="minor"/>
    </font>
    <font>
      <b/>
      <i/>
      <sz val="48"/>
      <color theme="0"/>
      <name val="Aptos Narrow"/>
      <scheme val="minor"/>
    </font>
    <font>
      <b/>
      <i/>
      <u/>
      <sz val="28"/>
      <color theme="0"/>
      <name val="Aptos Narrow"/>
      <scheme val="minor"/>
    </font>
    <font>
      <b/>
      <i/>
      <u/>
      <sz val="36"/>
      <color theme="0"/>
      <name val="Aptos Narrow"/>
      <scheme val="minor"/>
    </font>
    <font>
      <b/>
      <i/>
      <sz val="42"/>
      <color theme="0"/>
      <name val="Aptos Narrow"/>
      <scheme val="minor"/>
    </font>
    <font>
      <b/>
      <sz val="12"/>
      <color theme="1"/>
      <name val="Aptos Narrow"/>
      <scheme val="minor"/>
    </font>
    <font>
      <sz val="12"/>
      <color theme="0"/>
      <name val="Aptos Narrow"/>
      <scheme val="minor"/>
    </font>
    <font>
      <u/>
      <sz val="12"/>
      <color theme="10"/>
      <name val="Aptos Narrow"/>
      <family val="2"/>
      <scheme val="minor"/>
    </font>
    <font>
      <sz val="12"/>
      <color theme="3" tint="9.9978637043366805E-2"/>
      <name val="Aptos Narrow"/>
      <family val="2"/>
      <scheme val="minor"/>
    </font>
    <font>
      <sz val="12"/>
      <color theme="1"/>
      <name val="Aptos Narrow"/>
      <scheme val="minor"/>
    </font>
    <font>
      <sz val="11"/>
      <color rgb="FF000000"/>
      <name val="Helvetica Neue"/>
      <family val="2"/>
    </font>
    <font>
      <b/>
      <sz val="12.5"/>
      <color theme="7"/>
      <name val="Aptos Narrow"/>
      <scheme val="minor"/>
    </font>
    <font>
      <sz val="12.5"/>
      <color theme="7"/>
      <name val="Aptos Narrow"/>
      <scheme val="minor"/>
    </font>
    <font>
      <b/>
      <u/>
      <sz val="12.5"/>
      <color theme="7"/>
      <name val="Aptos Narrow"/>
      <scheme val="minor"/>
    </font>
    <font>
      <b/>
      <sz val="12"/>
      <color theme="0"/>
      <name val="Aptos Narrow (Body)"/>
    </font>
    <font>
      <b/>
      <sz val="18"/>
      <color theme="7"/>
      <name val="Aptos Narrow"/>
      <scheme val="minor"/>
    </font>
    <font>
      <b/>
      <sz val="12"/>
      <color theme="7"/>
      <name val="Aptos Narrow"/>
      <scheme val="minor"/>
    </font>
    <font>
      <sz val="12"/>
      <color theme="7"/>
      <name val="Aptos Narrow"/>
      <scheme val="minor"/>
    </font>
    <font>
      <b/>
      <sz val="24"/>
      <color theme="7"/>
      <name val="Aptos Narrow"/>
      <scheme val="minor"/>
    </font>
    <font>
      <sz val="13"/>
      <color theme="7"/>
      <name val="Aptos Narrow"/>
      <family val="2"/>
      <scheme val="minor"/>
    </font>
    <font>
      <b/>
      <sz val="13"/>
      <color theme="7"/>
      <name val="Aptos Narrow"/>
      <scheme val="minor"/>
    </font>
    <font>
      <sz val="18"/>
      <color theme="7"/>
      <name val="Aptos Narrow"/>
      <scheme val="minor"/>
    </font>
    <font>
      <b/>
      <sz val="15"/>
      <color theme="7"/>
      <name val="Aptos Narrow"/>
      <scheme val="minor"/>
    </font>
    <font>
      <b/>
      <sz val="17.5"/>
      <color theme="7"/>
      <name val="Aptos Narrow"/>
      <scheme val="minor"/>
    </font>
    <font>
      <b/>
      <u/>
      <sz val="12"/>
      <color theme="7"/>
      <name val="Aptos Narrow"/>
      <scheme val="minor"/>
    </font>
    <font>
      <sz val="12"/>
      <color theme="7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</fills>
  <borders count="77">
    <border>
      <left/>
      <right/>
      <top/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double">
        <color theme="0"/>
      </bottom>
      <diagonal/>
    </border>
    <border>
      <left/>
      <right/>
      <top style="medium">
        <color theme="0"/>
      </top>
      <bottom style="double">
        <color theme="0"/>
      </bottom>
      <diagonal/>
    </border>
    <border>
      <left/>
      <right style="medium">
        <color theme="0"/>
      </right>
      <top style="medium">
        <color theme="0"/>
      </top>
      <bottom style="double">
        <color theme="0"/>
      </bottom>
      <diagonal/>
    </border>
    <border>
      <left style="medium">
        <color theme="0"/>
      </left>
      <right/>
      <top style="medium">
        <color theme="0"/>
      </top>
      <bottom style="double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0"/>
      </right>
      <top style="medium">
        <color theme="0"/>
      </top>
      <bottom style="thin">
        <color theme="0" tint="-0.249977111117893"/>
      </bottom>
      <diagonal/>
    </border>
    <border>
      <left/>
      <right style="medium">
        <color theme="0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/>
      </left>
      <right/>
      <top style="medium">
        <color theme="0"/>
      </top>
      <bottom style="thin">
        <color theme="0" tint="-0.249977111117893"/>
      </bottom>
      <diagonal/>
    </border>
    <border>
      <left style="medium">
        <color theme="0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0" tint="-0.249977111117893"/>
      </bottom>
      <diagonal/>
    </border>
    <border>
      <left style="medium">
        <color theme="0"/>
      </left>
      <right style="medium">
        <color theme="0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0" tint="-0.14999847407452621"/>
      </bottom>
      <diagonal/>
    </border>
    <border>
      <left style="medium">
        <color theme="0"/>
      </left>
      <right style="medium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2" tint="-0.249977111117893"/>
      </bottom>
      <diagonal/>
    </border>
    <border>
      <left style="medium">
        <color theme="0"/>
      </left>
      <right style="medium">
        <color theme="0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theme="0"/>
      </left>
      <right/>
      <top/>
      <bottom style="thin">
        <color theme="2" tint="-9.9978637043366805E-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double">
        <color theme="0"/>
      </bottom>
      <diagonal/>
    </border>
    <border>
      <left style="medium">
        <color theme="0"/>
      </left>
      <right/>
      <top/>
      <bottom style="double">
        <color theme="0"/>
      </bottom>
      <diagonal/>
    </border>
    <border>
      <left/>
      <right style="medium">
        <color theme="0"/>
      </right>
      <top/>
      <bottom style="double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2" tint="-9.9978637043366805E-2"/>
      </bottom>
      <diagonal/>
    </border>
    <border>
      <left style="medium">
        <color theme="0"/>
      </left>
      <right/>
      <top style="medium">
        <color theme="0"/>
      </top>
      <bottom style="thin">
        <color theme="2" tint="-9.9978637043366805E-2"/>
      </bottom>
      <diagonal/>
    </border>
    <border>
      <left/>
      <right style="medium">
        <color theme="0"/>
      </right>
      <top style="medium">
        <color theme="0"/>
      </top>
      <bottom style="thin">
        <color theme="2" tint="-9.9978637043366805E-2"/>
      </bottom>
      <diagonal/>
    </border>
    <border>
      <left/>
      <right style="medium">
        <color theme="0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0"/>
      </left>
      <right style="medium">
        <color theme="0"/>
      </right>
      <top/>
      <bottom style="thin">
        <color theme="2" tint="-0.249977111117893"/>
      </bottom>
      <diagonal/>
    </border>
    <border>
      <left/>
      <right style="medium">
        <color theme="0"/>
      </right>
      <top/>
      <bottom style="thin">
        <color theme="2" tint="-9.9978637043366805E-2"/>
      </bottom>
      <diagonal/>
    </border>
    <border>
      <left style="medium">
        <color theme="0"/>
      </left>
      <right style="medium">
        <color theme="0"/>
      </right>
      <top/>
      <bottom style="double">
        <color theme="0"/>
      </bottom>
      <diagonal/>
    </border>
    <border>
      <left style="medium">
        <color theme="0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0" tint="-0.14999847407452621"/>
      </right>
      <top style="medium">
        <color theme="0"/>
      </top>
      <bottom style="double">
        <color theme="0"/>
      </bottom>
      <diagonal/>
    </border>
    <border>
      <left style="thin">
        <color theme="0" tint="-0.14999847407452621"/>
      </left>
      <right/>
      <top style="medium">
        <color theme="0"/>
      </top>
      <bottom style="double">
        <color theme="0"/>
      </bottom>
      <diagonal/>
    </border>
    <border>
      <left/>
      <right style="medium">
        <color theme="0"/>
      </right>
      <top style="double">
        <color theme="0"/>
      </top>
      <bottom style="double">
        <color theme="0"/>
      </bottom>
      <diagonal/>
    </border>
    <border>
      <left style="medium">
        <color theme="0"/>
      </left>
      <right/>
      <top style="double">
        <color theme="0"/>
      </top>
      <bottom style="double">
        <color theme="0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0"/>
      </left>
      <right/>
      <top style="double">
        <color theme="0"/>
      </top>
      <bottom style="medium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thin">
        <color theme="2" tint="-0.249977111117893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 tint="-0.14999847407452621"/>
      </top>
      <bottom style="medium">
        <color theme="0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32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18" xfId="0" applyFill="1" applyBorder="1"/>
    <xf numFmtId="0" fontId="0" fillId="3" borderId="15" xfId="0" applyFill="1" applyBorder="1"/>
    <xf numFmtId="0" fontId="9" fillId="3" borderId="18" xfId="0" applyFont="1" applyFill="1" applyBorder="1" applyAlignment="1">
      <alignment horizontal="center" vertical="center"/>
    </xf>
    <xf numFmtId="0" fontId="0" fillId="3" borderId="16" xfId="0" applyFill="1" applyBorder="1"/>
    <xf numFmtId="0" fontId="0" fillId="3" borderId="13" xfId="0" applyFill="1" applyBorder="1"/>
    <xf numFmtId="0" fontId="0" fillId="3" borderId="17" xfId="0" applyFill="1" applyBorder="1"/>
    <xf numFmtId="0" fontId="0" fillId="3" borderId="11" xfId="0" applyFill="1" applyBorder="1"/>
    <xf numFmtId="0" fontId="0" fillId="3" borderId="0" xfId="0" applyFill="1"/>
    <xf numFmtId="0" fontId="0" fillId="3" borderId="14" xfId="0" applyFill="1" applyBorder="1"/>
    <xf numFmtId="0" fontId="15" fillId="3" borderId="0" xfId="0" applyFont="1" applyFill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0" fillId="2" borderId="39" xfId="0" applyFill="1" applyBorder="1"/>
    <xf numFmtId="0" fontId="0" fillId="3" borderId="20" xfId="0" applyFill="1" applyBorder="1"/>
    <xf numFmtId="0" fontId="0" fillId="3" borderId="21" xfId="0" applyFill="1" applyBorder="1"/>
    <xf numFmtId="0" fontId="2" fillId="3" borderId="20" xfId="0" applyFont="1" applyFill="1" applyBorder="1" applyAlignment="1">
      <alignment horizontal="center" vertical="center"/>
    </xf>
    <xf numFmtId="166" fontId="1" fillId="3" borderId="43" xfId="0" applyNumberFormat="1" applyFont="1" applyFill="1" applyBorder="1" applyAlignment="1">
      <alignment horizontal="center" vertical="center"/>
    </xf>
    <xf numFmtId="166" fontId="1" fillId="3" borderId="34" xfId="0" applyNumberFormat="1" applyFont="1" applyFill="1" applyBorder="1" applyAlignment="1">
      <alignment horizontal="center" vertical="center"/>
    </xf>
    <xf numFmtId="164" fontId="6" fillId="2" borderId="7" xfId="0" applyNumberFormat="1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37" xfId="0" applyFill="1" applyBorder="1"/>
    <xf numFmtId="0" fontId="0" fillId="3" borderId="38" xfId="0" applyFill="1" applyBorder="1"/>
    <xf numFmtId="0" fontId="17" fillId="3" borderId="20" xfId="0" applyFont="1" applyFill="1" applyBorder="1" applyAlignment="1">
      <alignment vertical="center"/>
    </xf>
    <xf numFmtId="0" fontId="0" fillId="5" borderId="37" xfId="0" applyFill="1" applyBorder="1"/>
    <xf numFmtId="0" fontId="0" fillId="5" borderId="10" xfId="0" applyFill="1" applyBorder="1"/>
    <xf numFmtId="0" fontId="0" fillId="5" borderId="8" xfId="0" applyFill="1" applyBorder="1"/>
    <xf numFmtId="0" fontId="0" fillId="5" borderId="9" xfId="0" applyFill="1" applyBorder="1"/>
    <xf numFmtId="0" fontId="17" fillId="5" borderId="15" xfId="0" applyFont="1" applyFill="1" applyBorder="1" applyAlignment="1">
      <alignment vertical="center"/>
    </xf>
    <xf numFmtId="0" fontId="17" fillId="5" borderId="18" xfId="0" applyFont="1" applyFill="1" applyBorder="1" applyAlignment="1">
      <alignment vertical="center"/>
    </xf>
    <xf numFmtId="0" fontId="0" fillId="5" borderId="18" xfId="0" applyFill="1" applyBorder="1"/>
    <xf numFmtId="0" fontId="17" fillId="5" borderId="16" xfId="0" applyFont="1" applyFill="1" applyBorder="1" applyAlignment="1">
      <alignment vertical="center"/>
    </xf>
    <xf numFmtId="0" fontId="0" fillId="3" borderId="50" xfId="0" applyFill="1" applyBorder="1"/>
    <xf numFmtId="0" fontId="17" fillId="5" borderId="19" xfId="0" applyFont="1" applyFill="1" applyBorder="1" applyAlignment="1">
      <alignment vertical="center"/>
    </xf>
    <xf numFmtId="0" fontId="17" fillId="5" borderId="20" xfId="0" applyFont="1" applyFill="1" applyBorder="1" applyAlignment="1">
      <alignment vertical="center"/>
    </xf>
    <xf numFmtId="0" fontId="17" fillId="5" borderId="21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52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20" fillId="0" borderId="55" xfId="0" applyFont="1" applyBorder="1"/>
    <xf numFmtId="0" fontId="0" fillId="0" borderId="62" xfId="0" applyBorder="1"/>
    <xf numFmtId="0" fontId="0" fillId="0" borderId="57" xfId="0" applyBorder="1" applyAlignment="1">
      <alignment horizontal="center" vertical="center"/>
    </xf>
    <xf numFmtId="0" fontId="20" fillId="0" borderId="58" xfId="0" applyFon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5" xfId="0" applyBorder="1" applyAlignment="1">
      <alignment horizontal="center"/>
    </xf>
    <xf numFmtId="0" fontId="0" fillId="0" borderId="62" xfId="0" applyBorder="1" applyAlignment="1">
      <alignment horizontal="center"/>
    </xf>
    <xf numFmtId="0" fontId="20" fillId="0" borderId="64" xfId="0" applyFont="1" applyBorder="1" applyAlignment="1">
      <alignment horizontal="center" vertical="center"/>
    </xf>
    <xf numFmtId="0" fontId="20" fillId="0" borderId="65" xfId="0" applyFont="1" applyBorder="1" applyAlignment="1">
      <alignment horizont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20" fillId="0" borderId="57" xfId="0" applyFont="1" applyBorder="1" applyAlignment="1">
      <alignment horizontal="center" vertical="center"/>
    </xf>
    <xf numFmtId="0" fontId="0" fillId="0" borderId="65" xfId="0" applyBorder="1"/>
    <xf numFmtId="0" fontId="20" fillId="0" borderId="65" xfId="0" applyFont="1" applyBorder="1" applyAlignment="1">
      <alignment horizontal="center" vertical="center"/>
    </xf>
    <xf numFmtId="0" fontId="20" fillId="0" borderId="60" xfId="0" applyFont="1" applyBorder="1" applyAlignment="1">
      <alignment vertical="center"/>
    </xf>
    <xf numFmtId="0" fontId="20" fillId="0" borderId="61" xfId="0" applyFont="1" applyBorder="1" applyAlignment="1">
      <alignment vertical="center"/>
    </xf>
    <xf numFmtId="0" fontId="0" fillId="0" borderId="53" xfId="0" applyBorder="1" applyAlignment="1">
      <alignment horizontal="center" vertical="center"/>
    </xf>
    <xf numFmtId="0" fontId="20" fillId="0" borderId="59" xfId="0" applyFon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64" xfId="0" applyBorder="1"/>
    <xf numFmtId="0" fontId="20" fillId="0" borderId="64" xfId="0" applyFont="1" applyBorder="1" applyAlignment="1">
      <alignment horizontal="center"/>
    </xf>
    <xf numFmtId="0" fontId="0" fillId="0" borderId="52" xfId="0" applyBorder="1"/>
    <xf numFmtId="0" fontId="0" fillId="0" borderId="54" xfId="0" applyBorder="1"/>
    <xf numFmtId="0" fontId="20" fillId="0" borderId="55" xfId="0" applyFont="1" applyBorder="1" applyAlignment="1">
      <alignment horizontal="center"/>
    </xf>
    <xf numFmtId="166" fontId="0" fillId="0" borderId="56" xfId="0" applyNumberFormat="1" applyBorder="1" applyAlignment="1">
      <alignment horizontal="center" vertical="center"/>
    </xf>
    <xf numFmtId="0" fontId="0" fillId="0" borderId="56" xfId="0" applyBorder="1"/>
    <xf numFmtId="0" fontId="20" fillId="0" borderId="66" xfId="0" applyFont="1" applyBorder="1" applyAlignment="1">
      <alignment horizontal="center"/>
    </xf>
    <xf numFmtId="0" fontId="0" fillId="0" borderId="67" xfId="0" applyBorder="1"/>
    <xf numFmtId="0" fontId="0" fillId="3" borderId="71" xfId="0" applyFill="1" applyBorder="1"/>
    <xf numFmtId="14" fontId="2" fillId="3" borderId="67" xfId="0" applyNumberFormat="1" applyFont="1" applyFill="1" applyBorder="1" applyAlignment="1">
      <alignment horizontal="center" vertical="center"/>
    </xf>
    <xf numFmtId="0" fontId="2" fillId="3" borderId="70" xfId="0" applyFont="1" applyFill="1" applyBorder="1" applyAlignment="1">
      <alignment horizontal="right"/>
    </xf>
    <xf numFmtId="0" fontId="17" fillId="3" borderId="7" xfId="0" applyFont="1" applyFill="1" applyBorder="1" applyAlignment="1">
      <alignment vertical="center"/>
    </xf>
    <xf numFmtId="0" fontId="17" fillId="3" borderId="0" xfId="0" applyFont="1" applyFill="1" applyAlignment="1">
      <alignment vertical="center"/>
    </xf>
    <xf numFmtId="0" fontId="17" fillId="3" borderId="49" xfId="0" applyFont="1" applyFill="1" applyBorder="1" applyAlignment="1">
      <alignment vertical="center"/>
    </xf>
    <xf numFmtId="0" fontId="0" fillId="5" borderId="73" xfId="0" applyFill="1" applyBorder="1"/>
    <xf numFmtId="0" fontId="2" fillId="3" borderId="72" xfId="0" applyFont="1" applyFill="1" applyBorder="1" applyAlignment="1">
      <alignment horizontal="right"/>
    </xf>
    <xf numFmtId="0" fontId="0" fillId="0" borderId="57" xfId="0" applyBorder="1"/>
    <xf numFmtId="0" fontId="0" fillId="0" borderId="63" xfId="0" applyBorder="1"/>
    <xf numFmtId="0" fontId="0" fillId="0" borderId="60" xfId="0" applyBorder="1"/>
    <xf numFmtId="0" fontId="0" fillId="0" borderId="74" xfId="0" applyBorder="1"/>
    <xf numFmtId="0" fontId="2" fillId="3" borderId="69" xfId="0" applyFont="1" applyFill="1" applyBorder="1" applyAlignment="1">
      <alignment horizontal="right"/>
    </xf>
    <xf numFmtId="0" fontId="0" fillId="0" borderId="66" xfId="0" applyBorder="1"/>
    <xf numFmtId="0" fontId="0" fillId="0" borderId="55" xfId="0" applyBorder="1" applyAlignment="1">
      <alignment horizontal="center"/>
    </xf>
    <xf numFmtId="0" fontId="23" fillId="0" borderId="0" xfId="0" applyFont="1"/>
    <xf numFmtId="0" fontId="20" fillId="0" borderId="67" xfId="0" applyFont="1" applyBorder="1"/>
    <xf numFmtId="0" fontId="20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0" xfId="1"/>
    <xf numFmtId="0" fontId="20" fillId="0" borderId="68" xfId="0" applyFont="1" applyBorder="1"/>
    <xf numFmtId="0" fontId="20" fillId="0" borderId="55" xfId="0" applyFont="1" applyBorder="1" applyAlignment="1">
      <alignment horizontal="center" vertical="center"/>
    </xf>
    <xf numFmtId="0" fontId="20" fillId="0" borderId="56" xfId="0" applyFont="1" applyBorder="1" applyAlignment="1">
      <alignment horizontal="center"/>
    </xf>
    <xf numFmtId="166" fontId="0" fillId="0" borderId="65" xfId="0" applyNumberFormat="1" applyBorder="1" applyAlignment="1">
      <alignment horizontal="center" vertical="center"/>
    </xf>
    <xf numFmtId="0" fontId="0" fillId="2" borderId="3" xfId="0" applyFill="1" applyBorder="1"/>
    <xf numFmtId="0" fontId="0" fillId="0" borderId="0" xfId="0" applyProtection="1">
      <protection locked="0"/>
    </xf>
    <xf numFmtId="0" fontId="25" fillId="0" borderId="0" xfId="0" applyFont="1"/>
    <xf numFmtId="0" fontId="0" fillId="7" borderId="11" xfId="0" applyFill="1" applyBorder="1"/>
    <xf numFmtId="0" fontId="16" fillId="7" borderId="17" xfId="0" applyFont="1" applyFill="1" applyBorder="1" applyAlignment="1">
      <alignment horizontal="left" vertical="center" indent="5"/>
    </xf>
    <xf numFmtId="0" fontId="0" fillId="7" borderId="12" xfId="0" applyFill="1" applyBorder="1"/>
    <xf numFmtId="0" fontId="0" fillId="7" borderId="13" xfId="0" applyFill="1" applyBorder="1"/>
    <xf numFmtId="0" fontId="16" fillId="7" borderId="0" xfId="0" applyFont="1" applyFill="1" applyAlignment="1">
      <alignment horizontal="left" vertical="center" indent="5"/>
    </xf>
    <xf numFmtId="0" fontId="0" fillId="7" borderId="14" xfId="0" applyFill="1" applyBorder="1"/>
    <xf numFmtId="0" fontId="0" fillId="7" borderId="37" xfId="0" applyFill="1" applyBorder="1"/>
    <xf numFmtId="0" fontId="16" fillId="7" borderId="7" xfId="0" applyFont="1" applyFill="1" applyBorder="1" applyAlignment="1">
      <alignment horizontal="left" vertical="center" indent="5"/>
    </xf>
    <xf numFmtId="0" fontId="0" fillId="7" borderId="38" xfId="0" applyFill="1" applyBorder="1"/>
    <xf numFmtId="0" fontId="0" fillId="7" borderId="0" xfId="0" applyFill="1"/>
    <xf numFmtId="0" fontId="0" fillId="7" borderId="7" xfId="0" applyFill="1" applyBorder="1"/>
    <xf numFmtId="0" fontId="27" fillId="0" borderId="28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0" fillId="7" borderId="17" xfId="0" applyFill="1" applyBorder="1"/>
    <xf numFmtId="165" fontId="4" fillId="7" borderId="13" xfId="0" applyNumberFormat="1" applyFont="1" applyFill="1" applyBorder="1" applyAlignment="1">
      <alignment horizontal="center" vertical="center"/>
    </xf>
    <xf numFmtId="164" fontId="6" fillId="7" borderId="37" xfId="0" applyNumberFormat="1" applyFont="1" applyFill="1" applyBorder="1" applyAlignment="1">
      <alignment horizontal="center" vertical="center"/>
    </xf>
    <xf numFmtId="165" fontId="4" fillId="7" borderId="3" xfId="0" applyNumberFormat="1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166" fontId="1" fillId="7" borderId="13" xfId="0" applyNumberFormat="1" applyFont="1" applyFill="1" applyBorder="1" applyAlignment="1">
      <alignment horizontal="center" vertical="center"/>
    </xf>
    <xf numFmtId="0" fontId="1" fillId="7" borderId="21" xfId="0" applyFont="1" applyFill="1" applyBorder="1"/>
    <xf numFmtId="0" fontId="2" fillId="7" borderId="3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166" fontId="1" fillId="7" borderId="14" xfId="0" applyNumberFormat="1" applyFont="1" applyFill="1" applyBorder="1" applyAlignment="1">
      <alignment horizontal="center" vertical="center"/>
    </xf>
    <xf numFmtId="0" fontId="0" fillId="7" borderId="16" xfId="0" applyFill="1" applyBorder="1"/>
    <xf numFmtId="0" fontId="21" fillId="7" borderId="3" xfId="0" applyFont="1" applyFill="1" applyBorder="1" applyAlignment="1">
      <alignment horizontal="center" vertical="center"/>
    </xf>
    <xf numFmtId="166" fontId="21" fillId="7" borderId="3" xfId="0" applyNumberFormat="1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18" xfId="0" applyFill="1" applyBorder="1"/>
    <xf numFmtId="0" fontId="31" fillId="2" borderId="33" xfId="0" applyFont="1" applyFill="1" applyBorder="1" applyAlignment="1">
      <alignment horizontal="center" vertical="center"/>
    </xf>
    <xf numFmtId="166" fontId="31" fillId="2" borderId="34" xfId="0" applyNumberFormat="1" applyFont="1" applyFill="1" applyBorder="1" applyAlignment="1">
      <alignment horizontal="center" vertical="center"/>
    </xf>
    <xf numFmtId="0" fontId="32" fillId="2" borderId="34" xfId="0" applyFont="1" applyFill="1" applyBorder="1" applyAlignment="1">
      <alignment horizontal="center" vertical="center"/>
    </xf>
    <xf numFmtId="166" fontId="32" fillId="2" borderId="46" xfId="0" applyNumberFormat="1" applyFont="1" applyFill="1" applyBorder="1" applyAlignment="1">
      <alignment horizontal="center" vertical="center"/>
    </xf>
    <xf numFmtId="0" fontId="31" fillId="2" borderId="34" xfId="0" applyFont="1" applyFill="1" applyBorder="1" applyAlignment="1">
      <alignment horizontal="center" vertical="center"/>
    </xf>
    <xf numFmtId="166" fontId="31" fillId="2" borderId="33" xfId="0" applyNumberFormat="1" applyFont="1" applyFill="1" applyBorder="1" applyAlignment="1">
      <alignment horizontal="center" vertical="center"/>
    </xf>
    <xf numFmtId="0" fontId="32" fillId="2" borderId="33" xfId="0" applyFont="1" applyFill="1" applyBorder="1" applyAlignment="1">
      <alignment horizontal="center" vertical="center"/>
    </xf>
    <xf numFmtId="166" fontId="32" fillId="2" borderId="33" xfId="0" applyNumberFormat="1" applyFont="1" applyFill="1" applyBorder="1" applyAlignment="1">
      <alignment horizontal="center" vertical="center"/>
    </xf>
    <xf numFmtId="166" fontId="32" fillId="2" borderId="34" xfId="0" applyNumberFormat="1" applyFont="1" applyFill="1" applyBorder="1" applyAlignment="1">
      <alignment horizontal="center" vertical="center"/>
    </xf>
    <xf numFmtId="0" fontId="31" fillId="2" borderId="75" xfId="0" applyFont="1" applyFill="1" applyBorder="1" applyAlignment="1">
      <alignment horizontal="center" vertical="center"/>
    </xf>
    <xf numFmtId="166" fontId="31" fillId="2" borderId="75" xfId="0" applyNumberFormat="1" applyFont="1" applyFill="1" applyBorder="1" applyAlignment="1">
      <alignment horizontal="center" vertical="center"/>
    </xf>
    <xf numFmtId="0" fontId="32" fillId="2" borderId="75" xfId="0" applyFont="1" applyFill="1" applyBorder="1" applyAlignment="1">
      <alignment horizontal="center" vertical="center"/>
    </xf>
    <xf numFmtId="166" fontId="32" fillId="2" borderId="75" xfId="0" applyNumberFormat="1" applyFont="1" applyFill="1" applyBorder="1" applyAlignment="1">
      <alignment horizontal="center" vertical="center"/>
    </xf>
    <xf numFmtId="165" fontId="4" fillId="7" borderId="14" xfId="0" applyNumberFormat="1" applyFont="1" applyFill="1" applyBorder="1" applyAlignment="1">
      <alignment horizontal="center" vertical="center"/>
    </xf>
    <xf numFmtId="164" fontId="6" fillId="7" borderId="45" xfId="0" applyNumberFormat="1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12" fillId="7" borderId="35" xfId="0" applyFont="1" applyFill="1" applyBorder="1" applyAlignment="1">
      <alignment horizontal="center" vertical="center"/>
    </xf>
    <xf numFmtId="0" fontId="12" fillId="7" borderId="30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0" fontId="0" fillId="7" borderId="20" xfId="0" applyFill="1" applyBorder="1"/>
    <xf numFmtId="0" fontId="11" fillId="7" borderId="21" xfId="0" applyFont="1" applyFill="1" applyBorder="1" applyAlignment="1">
      <alignment horizontal="center" vertical="center"/>
    </xf>
    <xf numFmtId="166" fontId="13" fillId="7" borderId="31" xfId="0" applyNumberFormat="1" applyFont="1" applyFill="1" applyBorder="1" applyAlignment="1">
      <alignment horizontal="center" vertical="center"/>
    </xf>
    <xf numFmtId="166" fontId="13" fillId="7" borderId="32" xfId="0" applyNumberFormat="1" applyFont="1" applyFill="1" applyBorder="1" applyAlignment="1">
      <alignment horizontal="center" vertical="center"/>
    </xf>
    <xf numFmtId="0" fontId="10" fillId="7" borderId="20" xfId="0" applyFont="1" applyFill="1" applyBorder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166" fontId="34" fillId="2" borderId="31" xfId="0" applyNumberFormat="1" applyFont="1" applyFill="1" applyBorder="1" applyAlignment="1">
      <alignment horizontal="center" vertical="center"/>
    </xf>
    <xf numFmtId="166" fontId="34" fillId="2" borderId="32" xfId="0" applyNumberFormat="1" applyFont="1" applyFill="1" applyBorder="1" applyAlignment="1">
      <alignment horizontal="center" vertical="center"/>
    </xf>
    <xf numFmtId="166" fontId="34" fillId="2" borderId="76" xfId="0" applyNumberFormat="1" applyFont="1" applyFill="1" applyBorder="1" applyAlignment="1">
      <alignment horizontal="center" vertical="center"/>
    </xf>
    <xf numFmtId="166" fontId="35" fillId="2" borderId="6" xfId="0" applyNumberFormat="1" applyFont="1" applyFill="1" applyBorder="1" applyAlignment="1">
      <alignment horizontal="center" vertical="center"/>
    </xf>
    <xf numFmtId="166" fontId="35" fillId="2" borderId="5" xfId="0" applyNumberFormat="1" applyFont="1" applyFill="1" applyBorder="1" applyAlignment="1">
      <alignment horizontal="center" vertical="center"/>
    </xf>
    <xf numFmtId="0" fontId="35" fillId="2" borderId="3" xfId="0" applyFont="1" applyFill="1" applyBorder="1" applyAlignment="1">
      <alignment horizontal="center" vertical="center"/>
    </xf>
    <xf numFmtId="0" fontId="35" fillId="2" borderId="36" xfId="0" applyFont="1" applyFill="1" applyBorder="1" applyAlignment="1">
      <alignment horizontal="center" vertical="center"/>
    </xf>
    <xf numFmtId="166" fontId="13" fillId="7" borderId="4" xfId="0" applyNumberFormat="1" applyFont="1" applyFill="1" applyBorder="1" applyAlignment="1">
      <alignment horizontal="center" vertical="center"/>
    </xf>
    <xf numFmtId="166" fontId="13" fillId="7" borderId="5" xfId="0" applyNumberFormat="1" applyFont="1" applyFill="1" applyBorder="1" applyAlignment="1">
      <alignment horizontal="center" vertical="center"/>
    </xf>
    <xf numFmtId="0" fontId="0" fillId="7" borderId="4" xfId="0" applyFill="1" applyBorder="1"/>
    <xf numFmtId="0" fontId="17" fillId="7" borderId="0" xfId="0" applyFont="1" applyFill="1" applyAlignment="1">
      <alignment vertical="center"/>
    </xf>
    <xf numFmtId="0" fontId="17" fillId="7" borderId="14" xfId="0" applyFont="1" applyFill="1" applyBorder="1" applyAlignment="1">
      <alignment vertical="center"/>
    </xf>
    <xf numFmtId="0" fontId="5" fillId="7" borderId="0" xfId="0" applyFont="1" applyFill="1" applyAlignment="1">
      <alignment horizontal="center" vertical="center"/>
    </xf>
    <xf numFmtId="0" fontId="36" fillId="7" borderId="0" xfId="0" applyFont="1" applyFill="1" applyAlignment="1">
      <alignment horizontal="center" vertical="center"/>
    </xf>
    <xf numFmtId="0" fontId="32" fillId="3" borderId="20" xfId="0" applyFont="1" applyFill="1" applyBorder="1"/>
    <xf numFmtId="0" fontId="32" fillId="7" borderId="0" xfId="0" applyFont="1" applyFill="1"/>
    <xf numFmtId="0" fontId="32" fillId="5" borderId="3" xfId="0" applyFont="1" applyFill="1" applyBorder="1"/>
    <xf numFmtId="0" fontId="37" fillId="7" borderId="0" xfId="0" applyFont="1" applyFill="1" applyAlignment="1">
      <alignment vertical="center"/>
    </xf>
    <xf numFmtId="166" fontId="38" fillId="7" borderId="0" xfId="0" applyNumberFormat="1" applyFont="1" applyFill="1" applyAlignment="1">
      <alignment vertical="center"/>
    </xf>
    <xf numFmtId="166" fontId="37" fillId="7" borderId="0" xfId="0" applyNumberFormat="1" applyFont="1" applyFill="1" applyAlignment="1">
      <alignment vertical="center"/>
    </xf>
    <xf numFmtId="166" fontId="37" fillId="7" borderId="14" xfId="0" applyNumberFormat="1" applyFont="1" applyFill="1" applyBorder="1" applyAlignment="1">
      <alignment vertical="center"/>
    </xf>
    <xf numFmtId="0" fontId="14" fillId="7" borderId="17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4" fontId="2" fillId="7" borderId="6" xfId="0" applyNumberFormat="1" applyFont="1" applyFill="1" applyBorder="1" applyAlignment="1">
      <alignment horizontal="center" vertical="center"/>
    </xf>
    <xf numFmtId="14" fontId="2" fillId="7" borderId="3" xfId="0" applyNumberFormat="1" applyFont="1" applyFill="1" applyBorder="1" applyAlignment="1">
      <alignment horizontal="center" vertical="center"/>
    </xf>
    <xf numFmtId="0" fontId="14" fillId="7" borderId="11" xfId="0" applyFont="1" applyFill="1" applyBorder="1" applyAlignment="1">
      <alignment vertical="center"/>
    </xf>
    <xf numFmtId="0" fontId="14" fillId="7" borderId="13" xfId="0" applyFont="1" applyFill="1" applyBorder="1" applyAlignment="1">
      <alignment vertical="center"/>
    </xf>
    <xf numFmtId="0" fontId="40" fillId="3" borderId="20" xfId="0" applyFont="1" applyFill="1" applyBorder="1"/>
    <xf numFmtId="166" fontId="40" fillId="2" borderId="31" xfId="0" applyNumberFormat="1" applyFont="1" applyFill="1" applyBorder="1" applyAlignment="1">
      <alignment horizontal="center" vertical="center"/>
    </xf>
    <xf numFmtId="166" fontId="40" fillId="2" borderId="32" xfId="0" applyNumberFormat="1" applyFont="1" applyFill="1" applyBorder="1" applyAlignment="1">
      <alignment horizontal="center" vertical="center"/>
    </xf>
    <xf numFmtId="0" fontId="40" fillId="3" borderId="21" xfId="0" applyFont="1" applyFill="1" applyBorder="1"/>
    <xf numFmtId="0" fontId="16" fillId="7" borderId="17" xfId="0" applyFont="1" applyFill="1" applyBorder="1" applyAlignment="1">
      <alignment horizontal="left" vertical="center" indent="5"/>
    </xf>
    <xf numFmtId="0" fontId="16" fillId="7" borderId="0" xfId="0" applyFont="1" applyFill="1" applyAlignment="1">
      <alignment horizontal="left" vertical="center" indent="5"/>
    </xf>
    <xf numFmtId="0" fontId="16" fillId="7" borderId="7" xfId="0" applyFont="1" applyFill="1" applyBorder="1" applyAlignment="1">
      <alignment horizontal="left" vertical="center" indent="5"/>
    </xf>
    <xf numFmtId="0" fontId="8" fillId="7" borderId="11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 wrapText="1"/>
    </xf>
    <xf numFmtId="0" fontId="8" fillId="7" borderId="17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19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166" fontId="27" fillId="0" borderId="26" xfId="0" applyNumberFormat="1" applyFont="1" applyBorder="1" applyAlignment="1">
      <alignment horizontal="center" vertical="center"/>
    </xf>
    <xf numFmtId="166" fontId="27" fillId="0" borderId="24" xfId="0" applyNumberFormat="1" applyFont="1" applyBorder="1" applyAlignment="1">
      <alignment horizontal="center" vertical="center"/>
    </xf>
    <xf numFmtId="166" fontId="27" fillId="0" borderId="27" xfId="0" applyNumberFormat="1" applyFont="1" applyBorder="1" applyAlignment="1">
      <alignment horizontal="center" vertical="center"/>
    </xf>
    <xf numFmtId="166" fontId="27" fillId="0" borderId="25" xfId="0" applyNumberFormat="1" applyFont="1" applyBorder="1" applyAlignment="1">
      <alignment horizontal="center" vertical="center"/>
    </xf>
    <xf numFmtId="166" fontId="27" fillId="0" borderId="23" xfId="0" applyNumberFormat="1" applyFont="1" applyBorder="1" applyAlignment="1">
      <alignment horizontal="center" vertical="center"/>
    </xf>
    <xf numFmtId="0" fontId="27" fillId="0" borderId="26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166" fontId="27" fillId="0" borderId="22" xfId="0" applyNumberFormat="1" applyFont="1" applyBorder="1" applyAlignment="1">
      <alignment horizontal="center" vertical="center"/>
    </xf>
    <xf numFmtId="14" fontId="27" fillId="0" borderId="26" xfId="0" applyNumberFormat="1" applyFont="1" applyBorder="1" applyAlignment="1">
      <alignment horizontal="center" vertical="center"/>
    </xf>
    <xf numFmtId="0" fontId="28" fillId="6" borderId="26" xfId="0" applyFont="1" applyFill="1" applyBorder="1" applyAlignment="1" applyProtection="1">
      <alignment horizontal="center" vertical="center"/>
      <protection locked="0"/>
    </xf>
    <xf numFmtId="0" fontId="28" fillId="6" borderId="22" xfId="0" applyFont="1" applyFill="1" applyBorder="1" applyAlignment="1" applyProtection="1">
      <alignment horizontal="center" vertical="center"/>
      <protection locked="0"/>
    </xf>
    <xf numFmtId="0" fontId="28" fillId="6" borderId="24" xfId="0" applyFont="1" applyFill="1" applyBorder="1" applyAlignment="1" applyProtection="1">
      <alignment horizontal="center" vertical="center"/>
      <protection locked="0"/>
    </xf>
    <xf numFmtId="0" fontId="26" fillId="0" borderId="27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14" fontId="27" fillId="0" borderId="27" xfId="0" applyNumberFormat="1" applyFont="1" applyBorder="1" applyAlignment="1">
      <alignment horizontal="center" vertical="center"/>
    </xf>
    <xf numFmtId="14" fontId="27" fillId="0" borderId="25" xfId="0" applyNumberFormat="1" applyFont="1" applyBorder="1" applyAlignment="1">
      <alignment horizontal="center" vertical="center"/>
    </xf>
    <xf numFmtId="0" fontId="28" fillId="6" borderId="27" xfId="0" applyFont="1" applyFill="1" applyBorder="1" applyAlignment="1" applyProtection="1">
      <alignment horizontal="center" vertical="center"/>
      <protection locked="0"/>
    </xf>
    <xf numFmtId="0" fontId="28" fillId="6" borderId="23" xfId="0" applyFont="1" applyFill="1" applyBorder="1" applyAlignment="1" applyProtection="1">
      <alignment horizontal="center" vertical="center"/>
      <protection locked="0"/>
    </xf>
    <xf numFmtId="0" fontId="28" fillId="6" borderId="25" xfId="0" applyFont="1" applyFill="1" applyBorder="1" applyAlignment="1" applyProtection="1">
      <alignment horizontal="center" vertical="center"/>
      <protection locked="0"/>
    </xf>
    <xf numFmtId="0" fontId="26" fillId="0" borderId="26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3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6" fillId="7" borderId="37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164" fontId="30" fillId="2" borderId="48" xfId="0" applyNumberFormat="1" applyFont="1" applyFill="1" applyBorder="1" applyAlignment="1">
      <alignment horizontal="center" vertical="center"/>
    </xf>
    <xf numFmtId="164" fontId="30" fillId="2" borderId="8" xfId="0" applyNumberFormat="1" applyFont="1" applyFill="1" applyBorder="1" applyAlignment="1">
      <alignment horizontal="center" vertical="center"/>
    </xf>
    <xf numFmtId="164" fontId="30" fillId="2" borderId="47" xfId="0" applyNumberFormat="1" applyFont="1" applyFill="1" applyBorder="1" applyAlignment="1">
      <alignment horizontal="center" vertical="center"/>
    </xf>
    <xf numFmtId="165" fontId="7" fillId="7" borderId="4" xfId="0" applyNumberFormat="1" applyFont="1" applyFill="1" applyBorder="1" applyAlignment="1">
      <alignment horizontal="center" vertical="center"/>
    </xf>
    <xf numFmtId="165" fontId="7" fillId="7" borderId="5" xfId="0" applyNumberFormat="1" applyFont="1" applyFill="1" applyBorder="1" applyAlignment="1">
      <alignment horizontal="center" vertical="center"/>
    </xf>
    <xf numFmtId="165" fontId="7" fillId="7" borderId="6" xfId="0" applyNumberFormat="1" applyFont="1" applyFill="1" applyBorder="1" applyAlignment="1">
      <alignment horizontal="center" vertical="center"/>
    </xf>
    <xf numFmtId="164" fontId="30" fillId="2" borderId="9" xfId="0" applyNumberFormat="1" applyFont="1" applyFill="1" applyBorder="1" applyAlignment="1">
      <alignment horizontal="center" vertical="center"/>
    </xf>
    <xf numFmtId="164" fontId="30" fillId="2" borderId="10" xfId="0" applyNumberFormat="1" applyFont="1" applyFill="1" applyBorder="1" applyAlignment="1">
      <alignment horizontal="center" vertical="center"/>
    </xf>
    <xf numFmtId="0" fontId="30" fillId="3" borderId="19" xfId="0" applyFont="1" applyFill="1" applyBorder="1" applyAlignment="1">
      <alignment horizontal="center" vertical="center"/>
    </xf>
    <xf numFmtId="0" fontId="30" fillId="3" borderId="20" xfId="0" applyFont="1" applyFill="1" applyBorder="1" applyAlignment="1">
      <alignment horizontal="center" vertical="center"/>
    </xf>
    <xf numFmtId="0" fontId="30" fillId="3" borderId="21" xfId="0" applyFont="1" applyFill="1" applyBorder="1" applyAlignment="1">
      <alignment horizontal="center" vertical="center"/>
    </xf>
    <xf numFmtId="0" fontId="33" fillId="2" borderId="11" xfId="0" applyFont="1" applyFill="1" applyBorder="1" applyAlignment="1">
      <alignment horizontal="center" vertical="center"/>
    </xf>
    <xf numFmtId="0" fontId="33" fillId="2" borderId="17" xfId="0" applyFont="1" applyFill="1" applyBorder="1" applyAlignment="1">
      <alignment horizontal="center" vertical="center"/>
    </xf>
    <xf numFmtId="0" fontId="33" fillId="2" borderId="12" xfId="0" applyFont="1" applyFill="1" applyBorder="1" applyAlignment="1">
      <alignment horizontal="center" vertical="center"/>
    </xf>
    <xf numFmtId="0" fontId="33" fillId="2" borderId="15" xfId="0" applyFont="1" applyFill="1" applyBorder="1" applyAlignment="1">
      <alignment horizontal="center" vertical="center"/>
    </xf>
    <xf numFmtId="0" fontId="33" fillId="2" borderId="18" xfId="0" applyFont="1" applyFill="1" applyBorder="1" applyAlignment="1">
      <alignment horizontal="center" vertical="center"/>
    </xf>
    <xf numFmtId="0" fontId="33" fillId="2" borderId="16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8" borderId="21" xfId="0" applyFont="1" applyFill="1" applyBorder="1" applyAlignment="1">
      <alignment horizontal="center" vertical="center"/>
    </xf>
    <xf numFmtId="0" fontId="11" fillId="7" borderId="19" xfId="0" applyFont="1" applyFill="1" applyBorder="1" applyAlignment="1">
      <alignment horizontal="center" vertical="center"/>
    </xf>
    <xf numFmtId="0" fontId="11" fillId="7" borderId="21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37" fillId="2" borderId="11" xfId="0" applyFont="1" applyFill="1" applyBorder="1" applyAlignment="1" applyProtection="1">
      <alignment horizontal="center" vertical="center"/>
      <protection locked="0"/>
    </xf>
    <xf numFmtId="0" fontId="37" fillId="2" borderId="12" xfId="0" applyFont="1" applyFill="1" applyBorder="1" applyAlignment="1" applyProtection="1">
      <alignment horizontal="center" vertical="center"/>
      <protection locked="0"/>
    </xf>
    <xf numFmtId="0" fontId="37" fillId="2" borderId="15" xfId="0" applyFont="1" applyFill="1" applyBorder="1" applyAlignment="1" applyProtection="1">
      <alignment horizontal="center" vertical="center"/>
      <protection locked="0"/>
    </xf>
    <xf numFmtId="0" fontId="37" fillId="2" borderId="16" xfId="0" applyFont="1" applyFill="1" applyBorder="1" applyAlignment="1" applyProtection="1">
      <alignment horizontal="center" vertical="center"/>
      <protection locked="0"/>
    </xf>
    <xf numFmtId="166" fontId="38" fillId="2" borderId="11" xfId="0" applyNumberFormat="1" applyFont="1" applyFill="1" applyBorder="1" applyAlignment="1" applyProtection="1">
      <alignment horizontal="center" vertical="center"/>
      <protection locked="0"/>
    </xf>
    <xf numFmtId="166" fontId="38" fillId="2" borderId="12" xfId="0" applyNumberFormat="1" applyFont="1" applyFill="1" applyBorder="1" applyAlignment="1" applyProtection="1">
      <alignment horizontal="center" vertical="center"/>
      <protection locked="0"/>
    </xf>
    <xf numFmtId="166" fontId="38" fillId="2" borderId="15" xfId="0" applyNumberFormat="1" applyFont="1" applyFill="1" applyBorder="1" applyAlignment="1" applyProtection="1">
      <alignment horizontal="center" vertical="center"/>
      <protection locked="0"/>
    </xf>
    <xf numFmtId="166" fontId="38" fillId="2" borderId="16" xfId="0" applyNumberFormat="1" applyFont="1" applyFill="1" applyBorder="1" applyAlignment="1" applyProtection="1">
      <alignment horizontal="center" vertical="center"/>
      <protection locked="0"/>
    </xf>
    <xf numFmtId="0" fontId="30" fillId="2" borderId="19" xfId="0" applyFont="1" applyFill="1" applyBorder="1" applyAlignment="1">
      <alignment horizontal="center" vertical="center"/>
    </xf>
    <xf numFmtId="0" fontId="30" fillId="2" borderId="21" xfId="0" applyFont="1" applyFill="1" applyBorder="1" applyAlignment="1">
      <alignment horizontal="center" vertical="center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2" borderId="16" xfId="0" applyFont="1" applyFill="1" applyBorder="1" applyAlignment="1" applyProtection="1">
      <alignment horizontal="center"/>
      <protection locked="0"/>
    </xf>
    <xf numFmtId="0" fontId="38" fillId="2" borderId="15" xfId="0" applyFont="1" applyFill="1" applyBorder="1" applyAlignment="1" applyProtection="1">
      <alignment horizontal="center" vertical="center"/>
      <protection locked="0"/>
    </xf>
    <xf numFmtId="0" fontId="38" fillId="2" borderId="16" xfId="0" applyFont="1" applyFill="1" applyBorder="1" applyAlignment="1" applyProtection="1">
      <alignment horizontal="center" vertical="center"/>
      <protection locked="0"/>
    </xf>
    <xf numFmtId="166" fontId="37" fillId="2" borderId="11" xfId="0" applyNumberFormat="1" applyFont="1" applyFill="1" applyBorder="1" applyAlignment="1" applyProtection="1">
      <alignment horizontal="center" vertical="center"/>
      <protection locked="0"/>
    </xf>
    <xf numFmtId="166" fontId="37" fillId="2" borderId="12" xfId="0" applyNumberFormat="1" applyFont="1" applyFill="1" applyBorder="1" applyAlignment="1" applyProtection="1">
      <alignment horizontal="center" vertical="center"/>
      <protection locked="0"/>
    </xf>
    <xf numFmtId="166" fontId="37" fillId="2" borderId="15" xfId="0" applyNumberFormat="1" applyFont="1" applyFill="1" applyBorder="1" applyAlignment="1" applyProtection="1">
      <alignment horizontal="center" vertical="center"/>
      <protection locked="0"/>
    </xf>
    <xf numFmtId="166" fontId="37" fillId="2" borderId="16" xfId="0" applyNumberFormat="1" applyFont="1" applyFill="1" applyBorder="1" applyAlignment="1" applyProtection="1">
      <alignment horizontal="center" vertical="center"/>
      <protection locked="0"/>
    </xf>
    <xf numFmtId="0" fontId="18" fillId="7" borderId="17" xfId="0" applyFont="1" applyFill="1" applyBorder="1" applyAlignment="1">
      <alignment horizontal="left" vertical="center" indent="22"/>
    </xf>
    <xf numFmtId="0" fontId="18" fillId="7" borderId="12" xfId="0" applyFont="1" applyFill="1" applyBorder="1" applyAlignment="1">
      <alignment horizontal="left" vertical="center" indent="22"/>
    </xf>
    <xf numFmtId="0" fontId="18" fillId="7" borderId="0" xfId="0" applyFont="1" applyFill="1" applyAlignment="1">
      <alignment horizontal="left" vertical="center" indent="22"/>
    </xf>
    <xf numFmtId="0" fontId="18" fillId="7" borderId="14" xfId="0" applyFont="1" applyFill="1" applyBorder="1" applyAlignment="1">
      <alignment horizontal="left" vertical="center" indent="22"/>
    </xf>
    <xf numFmtId="0" fontId="18" fillId="7" borderId="7" xfId="0" applyFont="1" applyFill="1" applyBorder="1" applyAlignment="1">
      <alignment horizontal="left" vertical="center" indent="22"/>
    </xf>
    <xf numFmtId="0" fontId="18" fillId="7" borderId="38" xfId="0" applyFont="1" applyFill="1" applyBorder="1" applyAlignment="1">
      <alignment horizontal="left" vertical="center" indent="22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/>
    </xf>
    <xf numFmtId="0" fontId="40" fillId="2" borderId="30" xfId="0" applyFont="1" applyFill="1" applyBorder="1" applyAlignment="1">
      <alignment horizontal="center"/>
    </xf>
    <xf numFmtId="0" fontId="40" fillId="2" borderId="42" xfId="0" applyFont="1" applyFill="1" applyBorder="1" applyAlignment="1">
      <alignment horizontal="center"/>
    </xf>
    <xf numFmtId="166" fontId="40" fillId="2" borderId="30" xfId="0" applyNumberFormat="1" applyFont="1" applyFill="1" applyBorder="1" applyAlignment="1">
      <alignment horizontal="center"/>
    </xf>
    <xf numFmtId="166" fontId="40" fillId="2" borderId="42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40" fillId="2" borderId="40" xfId="0" applyFont="1" applyFill="1" applyBorder="1" applyAlignment="1">
      <alignment horizontal="center"/>
    </xf>
    <xf numFmtId="0" fontId="40" fillId="2" borderId="41" xfId="0" applyFont="1" applyFill="1" applyBorder="1" applyAlignment="1">
      <alignment horizontal="center"/>
    </xf>
    <xf numFmtId="166" fontId="40" fillId="2" borderId="35" xfId="0" applyNumberFormat="1" applyFont="1" applyFill="1" applyBorder="1" applyAlignment="1">
      <alignment horizontal="center"/>
    </xf>
    <xf numFmtId="166" fontId="40" fillId="2" borderId="44" xfId="0" applyNumberFormat="1" applyFont="1" applyFill="1" applyBorder="1" applyAlignment="1">
      <alignment horizontal="center"/>
    </xf>
    <xf numFmtId="0" fontId="19" fillId="7" borderId="17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19" fillId="7" borderId="7" xfId="0" applyFont="1" applyFill="1" applyBorder="1" applyAlignment="1">
      <alignment horizontal="center" vertical="center"/>
    </xf>
    <xf numFmtId="0" fontId="39" fillId="2" borderId="4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14" fontId="32" fillId="2" borderId="4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39" fillId="2" borderId="40" xfId="0" applyFont="1" applyFill="1" applyBorder="1" applyAlignment="1">
      <alignment horizontal="center" vertical="center"/>
    </xf>
    <xf numFmtId="0" fontId="39" fillId="2" borderId="41" xfId="0" applyFont="1" applyFill="1" applyBorder="1" applyAlignment="1">
      <alignment horizontal="center" vertical="center"/>
    </xf>
    <xf numFmtId="0" fontId="32" fillId="2" borderId="40" xfId="0" applyFont="1" applyFill="1" applyBorder="1" applyAlignment="1">
      <alignment horizontal="center" vertical="center"/>
    </xf>
    <xf numFmtId="0" fontId="32" fillId="2" borderId="41" xfId="0" applyFont="1" applyFill="1" applyBorder="1" applyAlignment="1">
      <alignment horizontal="center" vertical="center"/>
    </xf>
    <xf numFmtId="14" fontId="32" fillId="2" borderId="40" xfId="0" applyNumberFormat="1" applyFont="1" applyFill="1" applyBorder="1" applyAlignment="1">
      <alignment horizontal="center" vertic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20" fillId="0" borderId="52" xfId="0" applyFont="1" applyBorder="1" applyAlignment="1">
      <alignment horizontal="center"/>
    </xf>
    <xf numFmtId="0" fontId="20" fillId="0" borderId="54" xfId="0" applyFont="1" applyBorder="1" applyAlignment="1">
      <alignment horizontal="center"/>
    </xf>
    <xf numFmtId="0" fontId="20" fillId="0" borderId="52" xfId="0" applyFont="1" applyBorder="1" applyAlignment="1">
      <alignment horizontal="center" vertical="center"/>
    </xf>
    <xf numFmtId="0" fontId="20" fillId="0" borderId="53" xfId="0" applyFont="1" applyBorder="1" applyAlignment="1">
      <alignment horizontal="center" vertical="center"/>
    </xf>
    <xf numFmtId="0" fontId="20" fillId="0" borderId="54" xfId="0" applyFont="1" applyBorder="1" applyAlignment="1">
      <alignment horizontal="center" vertical="center"/>
    </xf>
    <xf numFmtId="0" fontId="20" fillId="0" borderId="53" xfId="0" applyFont="1" applyBorder="1" applyAlignment="1">
      <alignment horizontal="center"/>
    </xf>
    <xf numFmtId="0" fontId="20" fillId="0" borderId="57" xfId="0" applyFont="1" applyBorder="1" applyAlignment="1">
      <alignment horizontal="center" vertical="center"/>
    </xf>
    <xf numFmtId="0" fontId="20" fillId="0" borderId="63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2466AA"/>
      <color rgb="FF004CE3"/>
      <color rgb="FFD3CEA7"/>
      <color rgb="FFFFF8C5"/>
      <color rgb="FFFAFFC3"/>
      <color rgb="FF80B4E2"/>
      <color rgb="FFFFC0C0"/>
      <color rgb="FFD2ADFF"/>
      <color rgb="FFA6DDF0"/>
      <color rgb="FF9CE6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Style="combo" dx="15" fmlaLink="Data!$I$4" fmlaRange="Data!$G$4:$G$7" noThreeD="1" sel="1" val="0"/>
</file>

<file path=xl/ctrlProps/ctrlProp2.xml><?xml version="1.0" encoding="utf-8"?>
<formControlPr xmlns="http://schemas.microsoft.com/office/spreadsheetml/2009/9/main" objectType="Drop" dropStyle="combo" dx="15" fmlaLink="Data!$S$6" fmlaRange="Data!$Q$3:$Q$8" noThreeD="1" sel="1" val="0"/>
</file>

<file path=xl/ctrlProps/ctrlProp3.xml><?xml version="1.0" encoding="utf-8"?>
<formControlPr xmlns="http://schemas.microsoft.com/office/spreadsheetml/2009/9/main" objectType="Drop" dropStyle="combo" dx="15" fmlaLink="Data!$L$6" fmlaRange="Data!$J$3:$J$14" noThreeD="1" sel="9" val="4"/>
</file>

<file path=xl/ctrlProps/ctrlProp4.xml><?xml version="1.0" encoding="utf-8"?>
<formControlPr xmlns="http://schemas.microsoft.com/office/spreadsheetml/2009/9/main" objectType="Drop" dropStyle="combo" dx="15" fmlaLink="Data!$M$3" fmlaRange="Data!$C$2:$C$32" noThreeD="1" sel="8" val="6"/>
</file>

<file path=xl/ctrlProps/ctrlProp5.xml><?xml version="1.0" encoding="utf-8"?>
<formControlPr xmlns="http://schemas.microsoft.com/office/spreadsheetml/2009/9/main" objectType="Drop" dropStyle="combo" dx="15" fmlaRange="Data!$O$3" noThreeD="1" sel="1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6275</xdr:colOff>
      <xdr:row>3</xdr:row>
      <xdr:rowOff>21167</xdr:rowOff>
    </xdr:from>
    <xdr:to>
      <xdr:col>16</xdr:col>
      <xdr:colOff>0</xdr:colOff>
      <xdr:row>52</xdr:row>
      <xdr:rowOff>150678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FB47DAE4-223E-2A5A-7642-5C26F0334263}"/>
            </a:ext>
          </a:extLst>
        </xdr:cNvPr>
        <xdr:cNvSpPr/>
      </xdr:nvSpPr>
      <xdr:spPr>
        <a:xfrm>
          <a:off x="844475" y="630767"/>
          <a:ext cx="10890325" cy="10086311"/>
        </a:xfrm>
        <a:prstGeom prst="roundRect">
          <a:avLst/>
        </a:prstGeom>
        <a:solidFill>
          <a:schemeClr val="accent4"/>
        </a:solidFill>
        <a:ln w="9525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818444</xdr:colOff>
      <xdr:row>15</xdr:row>
      <xdr:rowOff>63500</xdr:rowOff>
    </xdr:from>
    <xdr:to>
      <xdr:col>14</xdr:col>
      <xdr:colOff>818444</xdr:colOff>
      <xdr:row>18</xdr:row>
      <xdr:rowOff>43690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3FCBC49-211E-B63E-3BB2-348A47769653}"/>
            </a:ext>
          </a:extLst>
        </xdr:cNvPr>
        <xdr:cNvSpPr/>
      </xdr:nvSpPr>
      <xdr:spPr>
        <a:xfrm>
          <a:off x="24757944" y="3160889"/>
          <a:ext cx="5778500" cy="60813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bg1"/>
              </a:solidFill>
            </a:rPr>
            <a:t>DATE</a:t>
          </a:r>
        </a:p>
      </xdr:txBody>
    </xdr:sp>
    <xdr:clientData/>
  </xdr:twoCellAnchor>
  <xdr:twoCellAnchor>
    <xdr:from>
      <xdr:col>3</xdr:col>
      <xdr:colOff>825381</xdr:colOff>
      <xdr:row>15</xdr:row>
      <xdr:rowOff>63500</xdr:rowOff>
    </xdr:from>
    <xdr:to>
      <xdr:col>6</xdr:col>
      <xdr:colOff>818444</xdr:colOff>
      <xdr:row>18</xdr:row>
      <xdr:rowOff>43690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70B95B12-0E78-F9A5-3C9F-0AE937193A75}"/>
            </a:ext>
          </a:extLst>
        </xdr:cNvPr>
        <xdr:cNvSpPr/>
      </xdr:nvSpPr>
      <xdr:spPr>
        <a:xfrm>
          <a:off x="21462881" y="3160889"/>
          <a:ext cx="2469563" cy="60813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bg1"/>
              </a:solidFill>
            </a:rPr>
            <a:t>ORDER #</a:t>
          </a:r>
        </a:p>
      </xdr:txBody>
    </xdr:sp>
    <xdr:clientData/>
  </xdr:twoCellAnchor>
  <xdr:twoCellAnchor>
    <xdr:from>
      <xdr:col>11</xdr:col>
      <xdr:colOff>643467</xdr:colOff>
      <xdr:row>10</xdr:row>
      <xdr:rowOff>31166</xdr:rowOff>
    </xdr:from>
    <xdr:to>
      <xdr:col>15</xdr:col>
      <xdr:colOff>508000</xdr:colOff>
      <xdr:row>10</xdr:row>
      <xdr:rowOff>31166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2E2A97F8-C121-0574-EF0A-888DA11FE99D}"/>
            </a:ext>
          </a:extLst>
        </xdr:cNvPr>
        <xdr:cNvCxnSpPr/>
      </xdr:nvCxnSpPr>
      <xdr:spPr>
        <a:xfrm>
          <a:off x="8111067" y="2063166"/>
          <a:ext cx="3183466" cy="0"/>
        </a:xfrm>
        <a:prstGeom prst="line">
          <a:avLst/>
        </a:prstGeom>
        <a:ln w="762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287867</xdr:colOff>
      <xdr:row>10</xdr:row>
      <xdr:rowOff>28646</xdr:rowOff>
    </xdr:from>
    <xdr:to>
      <xdr:col>3</xdr:col>
      <xdr:colOff>614777</xdr:colOff>
      <xdr:row>10</xdr:row>
      <xdr:rowOff>28646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97A36764-FC17-0667-4948-BD7A12FA63A4}"/>
            </a:ext>
          </a:extLst>
        </xdr:cNvPr>
        <xdr:cNvCxnSpPr/>
      </xdr:nvCxnSpPr>
      <xdr:spPr>
        <a:xfrm>
          <a:off x="1112963" y="2050939"/>
          <a:ext cx="326910" cy="0"/>
        </a:xfrm>
        <a:prstGeom prst="line">
          <a:avLst/>
        </a:prstGeom>
        <a:ln w="762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6</xdr:row>
      <xdr:rowOff>124869</xdr:rowOff>
    </xdr:from>
    <xdr:to>
      <xdr:col>11</xdr:col>
      <xdr:colOff>372534</xdr:colOff>
      <xdr:row>13</xdr:row>
      <xdr:rowOff>56595</xdr:rowOff>
    </xdr:to>
    <xdr:sp macro="" textlink="">
      <xdr:nvSpPr>
        <xdr:cNvPr id="57" name="Snip Diagonal Corner Rectangle 56">
          <a:extLst>
            <a:ext uri="{FF2B5EF4-FFF2-40B4-BE49-F238E27FC236}">
              <a16:creationId xmlns:a16="http://schemas.microsoft.com/office/drawing/2014/main" id="{070DD0F0-E354-59E3-AE22-B2E3D88E83E1}"/>
            </a:ext>
          </a:extLst>
        </xdr:cNvPr>
        <xdr:cNvSpPr/>
      </xdr:nvSpPr>
      <xdr:spPr>
        <a:xfrm>
          <a:off x="21463000" y="1394869"/>
          <a:ext cx="6151034" cy="1413393"/>
        </a:xfrm>
        <a:prstGeom prst="snip2DiagRect">
          <a:avLst/>
        </a:prstGeom>
        <a:solidFill>
          <a:schemeClr val="bg1"/>
        </a:solidFill>
        <a:ln>
          <a:solidFill>
            <a:schemeClr val="bg2">
              <a:lumMod val="9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201129</xdr:colOff>
      <xdr:row>6</xdr:row>
      <xdr:rowOff>150678</xdr:rowOff>
    </xdr:from>
    <xdr:to>
      <xdr:col>11</xdr:col>
      <xdr:colOff>240830</xdr:colOff>
      <xdr:row>12</xdr:row>
      <xdr:rowOff>79715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3327C710-B9FC-CE3B-3F17-11CC62FE6BAD}"/>
            </a:ext>
          </a:extLst>
        </xdr:cNvPr>
        <xdr:cNvSpPr txBox="1"/>
      </xdr:nvSpPr>
      <xdr:spPr>
        <a:xfrm>
          <a:off x="1837061" y="1313051"/>
          <a:ext cx="5765464" cy="109141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200" b="1" i="1" u="none">
              <a:solidFill>
                <a:schemeClr val="accent4"/>
              </a:solidFill>
            </a:rPr>
            <a:t>SALES PORTAL</a:t>
          </a:r>
        </a:p>
      </xdr:txBody>
    </xdr:sp>
    <xdr:clientData/>
  </xdr:twoCellAnchor>
  <xdr:twoCellAnchor>
    <xdr:from>
      <xdr:col>4</xdr:col>
      <xdr:colOff>-1</xdr:colOff>
      <xdr:row>23</xdr:row>
      <xdr:rowOff>207534</xdr:rowOff>
    </xdr:from>
    <xdr:to>
      <xdr:col>10</xdr:col>
      <xdr:colOff>-1</xdr:colOff>
      <xdr:row>26</xdr:row>
      <xdr:rowOff>186537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88D5C5AD-D5F4-DE35-94F3-6C386880F68D}"/>
            </a:ext>
          </a:extLst>
        </xdr:cNvPr>
        <xdr:cNvSpPr/>
      </xdr:nvSpPr>
      <xdr:spPr>
        <a:xfrm>
          <a:off x="21573066" y="4931934"/>
          <a:ext cx="4978400" cy="60553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bg1"/>
              </a:solidFill>
            </a:rPr>
            <a:t>CLIENT</a:t>
          </a:r>
        </a:p>
      </xdr:txBody>
    </xdr:sp>
    <xdr:clientData/>
  </xdr:twoCellAnchor>
  <xdr:twoCellAnchor>
    <xdr:from>
      <xdr:col>11</xdr:col>
      <xdr:colOff>0</xdr:colOff>
      <xdr:row>28</xdr:row>
      <xdr:rowOff>4334</xdr:rowOff>
    </xdr:from>
    <xdr:to>
      <xdr:col>15</xdr:col>
      <xdr:colOff>0</xdr:colOff>
      <xdr:row>31</xdr:row>
      <xdr:rowOff>4334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7CE5079-7DF2-AC85-6E42-6F93C3468837}"/>
            </a:ext>
          </a:extLst>
        </xdr:cNvPr>
        <xdr:cNvSpPr txBox="1"/>
      </xdr:nvSpPr>
      <xdr:spPr>
        <a:xfrm>
          <a:off x="27381200" y="5761667"/>
          <a:ext cx="3318933" cy="609600"/>
        </a:xfrm>
        <a:prstGeom prst="rect">
          <a:avLst/>
        </a:prstGeom>
        <a:solidFill>
          <a:schemeClr val="bg1"/>
        </a:solidFill>
        <a:ln w="38100" cmpd="sng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24</xdr:row>
      <xdr:rowOff>6446</xdr:rowOff>
    </xdr:from>
    <xdr:to>
      <xdr:col>15</xdr:col>
      <xdr:colOff>0</xdr:colOff>
      <xdr:row>27</xdr:row>
      <xdr:rowOff>4334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5D018D7D-DCC3-341E-8024-6460DE1A13B5}"/>
            </a:ext>
          </a:extLst>
        </xdr:cNvPr>
        <xdr:cNvSpPr/>
      </xdr:nvSpPr>
      <xdr:spPr>
        <a:xfrm>
          <a:off x="27381200" y="4950979"/>
          <a:ext cx="3318933" cy="60748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bg1"/>
              </a:solidFill>
            </a:rPr>
            <a:t>CLIENT ID</a:t>
          </a:r>
          <a:r>
            <a:rPr lang="en-US" sz="2400" b="1" i="1" baseline="0">
              <a:solidFill>
                <a:schemeClr val="bg1"/>
              </a:solidFill>
            </a:rPr>
            <a:t> #</a:t>
          </a:r>
          <a:endParaRPr lang="en-US" sz="240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197524</xdr:rowOff>
    </xdr:from>
    <xdr:to>
      <xdr:col>11</xdr:col>
      <xdr:colOff>17542</xdr:colOff>
      <xdr:row>40</xdr:row>
      <xdr:rowOff>0</xdr:rowOff>
    </xdr:to>
    <xdr:sp macro="[0]!ThisWorkbook.EnterQuantity" textlink="">
      <xdr:nvSpPr>
        <xdr:cNvPr id="69" name="PORTAL_QTY">
          <a:extLst>
            <a:ext uri="{FF2B5EF4-FFF2-40B4-BE49-F238E27FC236}">
              <a16:creationId xmlns:a16="http://schemas.microsoft.com/office/drawing/2014/main" id="{C996A597-8A79-E613-0E66-2C8608D4B3B4}"/>
            </a:ext>
          </a:extLst>
        </xdr:cNvPr>
        <xdr:cNvSpPr txBox="1"/>
      </xdr:nvSpPr>
      <xdr:spPr>
        <a:xfrm>
          <a:off x="5808133" y="7512724"/>
          <a:ext cx="1677009" cy="615276"/>
        </a:xfrm>
        <a:prstGeom prst="rect">
          <a:avLst/>
        </a:prstGeom>
        <a:solidFill>
          <a:schemeClr val="bg1">
            <a:lumMod val="85000"/>
          </a:schemeClr>
        </a:solidFill>
        <a:ln w="38100" cmpd="sng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2200" b="1">
              <a:solidFill>
                <a:schemeClr val="accent4"/>
              </a:solidFill>
            </a:rPr>
            <a:t>1</a:t>
          </a:r>
        </a:p>
      </xdr:txBody>
    </xdr:sp>
    <xdr:clientData fLocksWithSheet="0"/>
  </xdr:twoCellAnchor>
  <xdr:twoCellAnchor>
    <xdr:from>
      <xdr:col>9</xdr:col>
      <xdr:colOff>0</xdr:colOff>
      <xdr:row>32</xdr:row>
      <xdr:rowOff>190516</xdr:rowOff>
    </xdr:from>
    <xdr:to>
      <xdr:col>11</xdr:col>
      <xdr:colOff>0</xdr:colOff>
      <xdr:row>35</xdr:row>
      <xdr:rowOff>200677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30A81918-2A4D-F4F2-5000-F12216C51BB3}"/>
            </a:ext>
          </a:extLst>
        </xdr:cNvPr>
        <xdr:cNvSpPr/>
      </xdr:nvSpPr>
      <xdr:spPr>
        <a:xfrm>
          <a:off x="25511760" y="6743716"/>
          <a:ext cx="1645920" cy="61976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bg1"/>
              </a:solidFill>
            </a:rPr>
            <a:t>QTY.</a:t>
          </a:r>
        </a:p>
      </xdr:txBody>
    </xdr:sp>
    <xdr:clientData/>
  </xdr:twoCellAnchor>
  <xdr:twoCellAnchor>
    <xdr:from>
      <xdr:col>3</xdr:col>
      <xdr:colOff>822959</xdr:colOff>
      <xdr:row>32</xdr:row>
      <xdr:rowOff>190516</xdr:rowOff>
    </xdr:from>
    <xdr:to>
      <xdr:col>8</xdr:col>
      <xdr:colOff>0</xdr:colOff>
      <xdr:row>35</xdr:row>
      <xdr:rowOff>196342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1AF38A06-10B5-7401-35F3-A473FFAB0080}"/>
            </a:ext>
          </a:extLst>
        </xdr:cNvPr>
        <xdr:cNvSpPr/>
      </xdr:nvSpPr>
      <xdr:spPr>
        <a:xfrm>
          <a:off x="21396959" y="6743716"/>
          <a:ext cx="3291841" cy="61542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bg1"/>
              </a:solidFill>
            </a:rPr>
            <a:t>ITEM</a:t>
          </a:r>
        </a:p>
      </xdr:txBody>
    </xdr:sp>
    <xdr:clientData/>
  </xdr:twoCellAnchor>
  <xdr:twoCellAnchor>
    <xdr:from>
      <xdr:col>11</xdr:col>
      <xdr:colOff>815072</xdr:colOff>
      <xdr:row>36</xdr:row>
      <xdr:rowOff>183183</xdr:rowOff>
    </xdr:from>
    <xdr:to>
      <xdr:col>14</xdr:col>
      <xdr:colOff>819524</xdr:colOff>
      <xdr:row>39</xdr:row>
      <xdr:rowOff>183183</xdr:rowOff>
    </xdr:to>
    <xdr:sp macro="" textlink="Data!W4">
      <xdr:nvSpPr>
        <xdr:cNvPr id="73" name="PORTAL_AMT">
          <a:extLst>
            <a:ext uri="{FF2B5EF4-FFF2-40B4-BE49-F238E27FC236}">
              <a16:creationId xmlns:a16="http://schemas.microsoft.com/office/drawing/2014/main" id="{A9B1D04E-D548-1D94-5721-3D80C0F267B5}"/>
            </a:ext>
          </a:extLst>
        </xdr:cNvPr>
        <xdr:cNvSpPr txBox="1"/>
      </xdr:nvSpPr>
      <xdr:spPr>
        <a:xfrm>
          <a:off x="27972752" y="7549183"/>
          <a:ext cx="2473332" cy="609600"/>
        </a:xfrm>
        <a:prstGeom prst="rect">
          <a:avLst/>
        </a:prstGeom>
        <a:solidFill>
          <a:schemeClr val="bg1">
            <a:lumMod val="85000"/>
          </a:schemeClr>
        </a:solidFill>
        <a:ln w="38100" cmpd="sng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2200" b="1" i="0" u="words" strike="noStrike">
              <a:solidFill>
                <a:schemeClr val="accent4"/>
              </a:solidFill>
              <a:latin typeface="Aptos Narrow"/>
            </a:rPr>
            <a:t>$80.00</a:t>
          </a:r>
          <a:endParaRPr lang="en-US" sz="2200" b="1" u="words">
            <a:solidFill>
              <a:schemeClr val="accent4"/>
            </a:solidFill>
          </a:endParaRPr>
        </a:p>
      </xdr:txBody>
    </xdr:sp>
    <xdr:clientData/>
  </xdr:twoCellAnchor>
  <xdr:twoCellAnchor>
    <xdr:from>
      <xdr:col>12</xdr:col>
      <xdr:colOff>0</xdr:colOff>
      <xdr:row>32</xdr:row>
      <xdr:rowOff>190516</xdr:rowOff>
    </xdr:from>
    <xdr:to>
      <xdr:col>14</xdr:col>
      <xdr:colOff>819525</xdr:colOff>
      <xdr:row>35</xdr:row>
      <xdr:rowOff>183183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5ADC1AC3-95BD-C6C6-ADC9-F72F906E1D5F}"/>
            </a:ext>
          </a:extLst>
        </xdr:cNvPr>
        <xdr:cNvSpPr/>
      </xdr:nvSpPr>
      <xdr:spPr>
        <a:xfrm>
          <a:off x="27980640" y="6743716"/>
          <a:ext cx="2465445" cy="60226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81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bg1"/>
              </a:solidFill>
            </a:rPr>
            <a:t>AMT</a:t>
          </a:r>
        </a:p>
      </xdr:txBody>
    </xdr:sp>
    <xdr:clientData/>
  </xdr:twoCellAnchor>
  <xdr:twoCellAnchor>
    <xdr:from>
      <xdr:col>11</xdr:col>
      <xdr:colOff>0</xdr:colOff>
      <xdr:row>28</xdr:row>
      <xdr:rowOff>0</xdr:rowOff>
    </xdr:from>
    <xdr:to>
      <xdr:col>15</xdr:col>
      <xdr:colOff>0</xdr:colOff>
      <xdr:row>31</xdr:row>
      <xdr:rowOff>0</xdr:rowOff>
    </xdr:to>
    <xdr:sp macro="" textlink="Data!I4">
      <xdr:nvSpPr>
        <xdr:cNvPr id="80" name="PORTAL_ID">
          <a:extLst>
            <a:ext uri="{FF2B5EF4-FFF2-40B4-BE49-F238E27FC236}">
              <a16:creationId xmlns:a16="http://schemas.microsoft.com/office/drawing/2014/main" id="{FECA77EF-84A8-1EA9-B260-5154EA5E8F5E}"/>
            </a:ext>
          </a:extLst>
        </xdr:cNvPr>
        <xdr:cNvSpPr txBox="1"/>
      </xdr:nvSpPr>
      <xdr:spPr>
        <a:xfrm>
          <a:off x="7436386" y="5712450"/>
          <a:ext cx="3305060" cy="612048"/>
        </a:xfrm>
        <a:prstGeom prst="rect">
          <a:avLst/>
        </a:prstGeom>
        <a:solidFill>
          <a:schemeClr val="bg1">
            <a:lumMod val="85000"/>
          </a:schemeClr>
        </a:solidFill>
        <a:ln w="38100" cmpd="sng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fld id="{A9FC4076-AC4A-AA49-8F02-80506DE27053}" type="TxLink">
            <a:rPr lang="en-US" sz="2200" b="1" i="0" u="none" strike="noStrike">
              <a:solidFill>
                <a:schemeClr val="accent4"/>
              </a:solidFill>
              <a:latin typeface="Aptos Narrow"/>
            </a:rPr>
            <a:pPr lvl="0" algn="ctr"/>
            <a:t>1</a:t>
          </a:fld>
          <a:endParaRPr lang="en-US" sz="2200" b="1">
            <a:solidFill>
              <a:schemeClr val="accent4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1034" name="DROPCLIEN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1035" name="DROPITEM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800100</xdr:colOff>
          <xdr:row>19</xdr:row>
          <xdr:rowOff>0</xdr:rowOff>
        </xdr:from>
        <xdr:to>
          <xdr:col>10</xdr:col>
          <xdr:colOff>635000</xdr:colOff>
          <xdr:row>22</xdr:row>
          <xdr:rowOff>0</xdr:rowOff>
        </xdr:to>
        <xdr:sp macro="" textlink="">
          <xdr:nvSpPr>
            <xdr:cNvPr id="1036" name="MONTHDROP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711200</xdr:colOff>
          <xdr:row>22</xdr:row>
          <xdr:rowOff>0</xdr:rowOff>
        </xdr:to>
        <xdr:sp macro="" textlink="">
          <xdr:nvSpPr>
            <xdr:cNvPr id="1037" name="DAYDROP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63500</xdr:colOff>
          <xdr:row>19</xdr:row>
          <xdr:rowOff>0</xdr:rowOff>
        </xdr:from>
        <xdr:to>
          <xdr:col>15</xdr:col>
          <xdr:colOff>25400</xdr:colOff>
          <xdr:row>22</xdr:row>
          <xdr:rowOff>0</xdr:rowOff>
        </xdr:to>
        <xdr:sp macro="" textlink="">
          <xdr:nvSpPr>
            <xdr:cNvPr id="1038" name="YEARDROP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803038</xdr:colOff>
      <xdr:row>18</xdr:row>
      <xdr:rowOff>203709</xdr:rowOff>
    </xdr:from>
    <xdr:to>
      <xdr:col>10</xdr:col>
      <xdr:colOff>35012</xdr:colOff>
      <xdr:row>22</xdr:row>
      <xdr:rowOff>0</xdr:rowOff>
    </xdr:to>
    <xdr:sp macro="" textlink="Data!L4">
      <xdr:nvSpPr>
        <xdr:cNvPr id="7" name="PORTAL_MONTH">
          <a:extLst>
            <a:ext uri="{FF2B5EF4-FFF2-40B4-BE49-F238E27FC236}">
              <a16:creationId xmlns:a16="http://schemas.microsoft.com/office/drawing/2014/main" id="{C849379B-C092-584D-B5DD-603D7572A480}"/>
            </a:ext>
          </a:extLst>
        </xdr:cNvPr>
        <xdr:cNvSpPr txBox="1"/>
      </xdr:nvSpPr>
      <xdr:spPr>
        <a:xfrm>
          <a:off x="4924968" y="3870476"/>
          <a:ext cx="1705132" cy="611128"/>
        </a:xfrm>
        <a:prstGeom prst="rect">
          <a:avLst/>
        </a:prstGeom>
        <a:solidFill>
          <a:schemeClr val="bg1">
            <a:lumMod val="85000"/>
          </a:schemeClr>
        </a:solidFill>
        <a:ln w="38100" cmpd="sng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fld id="{B5135EC6-0EBE-DE40-85AD-53263B5C93BB}" type="TxLink">
            <a:rPr lang="en-US" sz="2200" b="1" i="0" u="none" strike="noStrike">
              <a:solidFill>
                <a:schemeClr val="accent4"/>
              </a:solidFill>
              <a:latin typeface="Aptos Narrow"/>
            </a:rPr>
            <a:pPr lvl="0" algn="ctr"/>
            <a:t>September</a:t>
          </a:fld>
          <a:endParaRPr lang="en-US" sz="2200" b="1">
            <a:solidFill>
              <a:schemeClr val="accent4"/>
            </a:solidFill>
          </a:endParaRPr>
        </a:p>
      </xdr:txBody>
    </xdr:sp>
    <xdr:clientData/>
  </xdr:twoCellAnchor>
  <xdr:twoCellAnchor>
    <xdr:from>
      <xdr:col>11</xdr:col>
      <xdr:colOff>0</xdr:colOff>
      <xdr:row>19</xdr:row>
      <xdr:rowOff>0</xdr:rowOff>
    </xdr:from>
    <xdr:to>
      <xdr:col>12</xdr:col>
      <xdr:colOff>102973</xdr:colOff>
      <xdr:row>22</xdr:row>
      <xdr:rowOff>2237</xdr:rowOff>
    </xdr:to>
    <xdr:sp macro="" textlink="Data!N3">
      <xdr:nvSpPr>
        <xdr:cNvPr id="10" name="PORTAL_DAY">
          <a:extLst>
            <a:ext uri="{FF2B5EF4-FFF2-40B4-BE49-F238E27FC236}">
              <a16:creationId xmlns:a16="http://schemas.microsoft.com/office/drawing/2014/main" id="{BCCEC176-0CB5-EF41-A548-3F5DCFA0CCFC}"/>
            </a:ext>
          </a:extLst>
        </xdr:cNvPr>
        <xdr:cNvSpPr txBox="1"/>
      </xdr:nvSpPr>
      <xdr:spPr>
        <a:xfrm>
          <a:off x="7414054" y="3912973"/>
          <a:ext cx="926757" cy="620075"/>
        </a:xfrm>
        <a:prstGeom prst="rect">
          <a:avLst/>
        </a:prstGeom>
        <a:solidFill>
          <a:schemeClr val="bg1">
            <a:lumMod val="85000"/>
          </a:schemeClr>
        </a:solidFill>
        <a:ln w="38100" cmpd="sng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fld id="{AF8CAEBA-1C19-DE4D-9FE4-89CFAF582B67}" type="TxLink">
            <a:rPr lang="en-US" sz="2200" b="1" i="0" u="none" strike="noStrike">
              <a:solidFill>
                <a:schemeClr val="accent4"/>
              </a:solidFill>
              <a:latin typeface="Aptos Narrow"/>
            </a:rPr>
            <a:pPr lvl="0" algn="ctr"/>
            <a:t>8</a:t>
          </a:fld>
          <a:endParaRPr lang="en-US" sz="2200" b="1">
            <a:solidFill>
              <a:schemeClr val="accent4"/>
            </a:solidFill>
          </a:endParaRPr>
        </a:p>
      </xdr:txBody>
    </xdr:sp>
    <xdr:clientData/>
  </xdr:twoCellAnchor>
  <xdr:twoCellAnchor>
    <xdr:from>
      <xdr:col>13</xdr:col>
      <xdr:colOff>73187</xdr:colOff>
      <xdr:row>19</xdr:row>
      <xdr:rowOff>4305</xdr:rowOff>
    </xdr:from>
    <xdr:to>
      <xdr:col>14</xdr:col>
      <xdr:colOff>249695</xdr:colOff>
      <xdr:row>22</xdr:row>
      <xdr:rowOff>6542</xdr:rowOff>
    </xdr:to>
    <xdr:sp macro="" textlink="Data!P3">
      <xdr:nvSpPr>
        <xdr:cNvPr id="12" name="PORTAL_YEAR">
          <a:extLst>
            <a:ext uri="{FF2B5EF4-FFF2-40B4-BE49-F238E27FC236}">
              <a16:creationId xmlns:a16="http://schemas.microsoft.com/office/drawing/2014/main" id="{57280B69-CAEC-5EC2-46AD-14924B797B69}"/>
            </a:ext>
          </a:extLst>
        </xdr:cNvPr>
        <xdr:cNvSpPr txBox="1"/>
      </xdr:nvSpPr>
      <xdr:spPr>
        <a:xfrm>
          <a:off x="9165526" y="3848746"/>
          <a:ext cx="1003084" cy="609254"/>
        </a:xfrm>
        <a:prstGeom prst="rect">
          <a:avLst/>
        </a:prstGeom>
        <a:solidFill>
          <a:schemeClr val="bg1">
            <a:lumMod val="85000"/>
          </a:schemeClr>
        </a:solidFill>
        <a:ln w="38100" cmpd="sng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fld id="{E1439FA8-BD37-DA48-A5CC-DE27FD8E1303}" type="TxLink">
            <a:rPr lang="en-US" sz="2200" b="1" i="0" u="none" strike="noStrike">
              <a:solidFill>
                <a:schemeClr val="accent4"/>
              </a:solidFill>
              <a:latin typeface="Aptos Narrow"/>
            </a:rPr>
            <a:pPr lvl="0" algn="ctr"/>
            <a:t>2025</a:t>
          </a:fld>
          <a:endParaRPr lang="en-US" sz="22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1</xdr:colOff>
      <xdr:row>28</xdr:row>
      <xdr:rowOff>0</xdr:rowOff>
    </xdr:from>
    <xdr:to>
      <xdr:col>9</xdr:col>
      <xdr:colOff>230910</xdr:colOff>
      <xdr:row>31</xdr:row>
      <xdr:rowOff>5676</xdr:rowOff>
    </xdr:to>
    <xdr:sp macro="" textlink="Data!F4">
      <xdr:nvSpPr>
        <xdr:cNvPr id="15" name="PORTAL_CLIENT">
          <a:extLst>
            <a:ext uri="{FF2B5EF4-FFF2-40B4-BE49-F238E27FC236}">
              <a16:creationId xmlns:a16="http://schemas.microsoft.com/office/drawing/2014/main" id="{CFB3218A-3E9C-4415-AADF-D1A6F420A7CF}"/>
            </a:ext>
          </a:extLst>
        </xdr:cNvPr>
        <xdr:cNvSpPr txBox="1"/>
      </xdr:nvSpPr>
      <xdr:spPr>
        <a:xfrm>
          <a:off x="1653397" y="5703019"/>
          <a:ext cx="4364400" cy="616714"/>
        </a:xfrm>
        <a:prstGeom prst="rect">
          <a:avLst/>
        </a:prstGeom>
        <a:solidFill>
          <a:schemeClr val="bg1">
            <a:lumMod val="85000"/>
          </a:schemeClr>
        </a:solidFill>
        <a:ln w="38100" cmpd="sng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fld id="{344B350E-67EE-B04E-A27C-78E6A3C7FC03}" type="TxLink">
            <a:rPr lang="en-US" sz="2200" b="1" i="0" u="none" strike="noStrike">
              <a:solidFill>
                <a:schemeClr val="accent4"/>
              </a:solidFill>
              <a:latin typeface="Aptos Narrow"/>
            </a:rPr>
            <a:pPr lvl="0" algn="ctr"/>
            <a:t>Client 1</a:t>
          </a:fld>
          <a:endParaRPr lang="en-US" sz="2200" b="1">
            <a:solidFill>
              <a:schemeClr val="accent4"/>
            </a:solidFill>
          </a:endParaRPr>
        </a:p>
      </xdr:txBody>
    </xdr:sp>
    <xdr:clientData/>
  </xdr:twoCellAnchor>
  <xdr:twoCellAnchor>
    <xdr:from>
      <xdr:col>3</xdr:col>
      <xdr:colOff>825141</xdr:colOff>
      <xdr:row>36</xdr:row>
      <xdr:rowOff>200904</xdr:rowOff>
    </xdr:from>
    <xdr:to>
      <xdr:col>7</xdr:col>
      <xdr:colOff>222430</xdr:colOff>
      <xdr:row>40</xdr:row>
      <xdr:rowOff>3817</xdr:rowOff>
    </xdr:to>
    <xdr:sp macro="" textlink="Data!S4">
      <xdr:nvSpPr>
        <xdr:cNvPr id="17" name="PORTAL_ITEM">
          <a:extLst>
            <a:ext uri="{FF2B5EF4-FFF2-40B4-BE49-F238E27FC236}">
              <a16:creationId xmlns:a16="http://schemas.microsoft.com/office/drawing/2014/main" id="{95207D40-7092-4393-ECA1-C7A6797E3B07}"/>
            </a:ext>
          </a:extLst>
        </xdr:cNvPr>
        <xdr:cNvSpPr txBox="1"/>
      </xdr:nvSpPr>
      <xdr:spPr>
        <a:xfrm>
          <a:off x="1650282" y="7433446"/>
          <a:ext cx="2697854" cy="606529"/>
        </a:xfrm>
        <a:prstGeom prst="rect">
          <a:avLst/>
        </a:prstGeom>
        <a:solidFill>
          <a:schemeClr val="bg1">
            <a:lumMod val="85000"/>
          </a:schemeClr>
        </a:solidFill>
        <a:ln w="38100" cmpd="sng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fld id="{18F0A9F6-A9FE-7542-875E-651EFC0401E0}" type="TxLink">
            <a:rPr lang="en-US" sz="2200" b="1" i="0" u="none" strike="noStrike">
              <a:solidFill>
                <a:schemeClr val="accent4"/>
              </a:solidFill>
              <a:latin typeface="Aptos Narrow"/>
            </a:rPr>
            <a:pPr lvl="0" algn="ctr"/>
            <a:t>WRENCH</a:t>
          </a:fld>
          <a:endParaRPr lang="en-US" sz="2200" b="1">
            <a:solidFill>
              <a:schemeClr val="accent4"/>
            </a:solidFill>
          </a:endParaRPr>
        </a:p>
      </xdr:txBody>
    </xdr:sp>
    <xdr:clientData/>
  </xdr:twoCellAnchor>
  <xdr:twoCellAnchor>
    <xdr:from>
      <xdr:col>9</xdr:col>
      <xdr:colOff>53990</xdr:colOff>
      <xdr:row>40</xdr:row>
      <xdr:rowOff>127575</xdr:rowOff>
    </xdr:from>
    <xdr:to>
      <xdr:col>10</xdr:col>
      <xdr:colOff>759191</xdr:colOff>
      <xdr:row>41</xdr:row>
      <xdr:rowOff>127576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607CFE3-B6FA-8945-A003-96AABD00BF3F}"/>
            </a:ext>
          </a:extLst>
        </xdr:cNvPr>
        <xdr:cNvSpPr txBox="1"/>
      </xdr:nvSpPr>
      <xdr:spPr>
        <a:xfrm>
          <a:off x="5832490" y="8255575"/>
          <a:ext cx="1530701" cy="203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(ENTER QTY)</a:t>
          </a:r>
        </a:p>
      </xdr:txBody>
    </xdr:sp>
    <xdr:clientData/>
  </xdr:twoCellAnchor>
  <xdr:twoCellAnchor>
    <xdr:from>
      <xdr:col>8</xdr:col>
      <xdr:colOff>26830</xdr:colOff>
      <xdr:row>22</xdr:row>
      <xdr:rowOff>87284</xdr:rowOff>
    </xdr:from>
    <xdr:to>
      <xdr:col>9</xdr:col>
      <xdr:colOff>732032</xdr:colOff>
      <xdr:row>23</xdr:row>
      <xdr:rowOff>87285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D4B7FCE0-E783-BD4F-84AB-5D4CBC72BCB1}"/>
            </a:ext>
          </a:extLst>
        </xdr:cNvPr>
        <xdr:cNvSpPr txBox="1"/>
      </xdr:nvSpPr>
      <xdr:spPr>
        <a:xfrm>
          <a:off x="4964590" y="4557684"/>
          <a:ext cx="1528162" cy="203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(MONTH)</a:t>
          </a:r>
        </a:p>
      </xdr:txBody>
    </xdr:sp>
    <xdr:clientData/>
  </xdr:twoCellAnchor>
  <xdr:twoCellAnchor>
    <xdr:from>
      <xdr:col>10</xdr:col>
      <xdr:colOff>506714</xdr:colOff>
      <xdr:row>22</xdr:row>
      <xdr:rowOff>87923</xdr:rowOff>
    </xdr:from>
    <xdr:to>
      <xdr:col>12</xdr:col>
      <xdr:colOff>389212</xdr:colOff>
      <xdr:row>23</xdr:row>
      <xdr:rowOff>87924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3DA693EE-1DAC-304C-ADDF-9FEF722E7A06}"/>
            </a:ext>
          </a:extLst>
        </xdr:cNvPr>
        <xdr:cNvSpPr txBox="1"/>
      </xdr:nvSpPr>
      <xdr:spPr>
        <a:xfrm>
          <a:off x="7090394" y="4558323"/>
          <a:ext cx="1528418" cy="203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(DAY)</a:t>
          </a:r>
        </a:p>
      </xdr:txBody>
    </xdr:sp>
    <xdr:clientData/>
  </xdr:twoCellAnchor>
  <xdr:twoCellAnchor>
    <xdr:from>
      <xdr:col>12</xdr:col>
      <xdr:colOff>627164</xdr:colOff>
      <xdr:row>22</xdr:row>
      <xdr:rowOff>88562</xdr:rowOff>
    </xdr:from>
    <xdr:to>
      <xdr:col>14</xdr:col>
      <xdr:colOff>509662</xdr:colOff>
      <xdr:row>23</xdr:row>
      <xdr:rowOff>88563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6A0B745-A795-1D49-A57F-CB42FDDCE422}"/>
            </a:ext>
          </a:extLst>
        </xdr:cNvPr>
        <xdr:cNvSpPr txBox="1"/>
      </xdr:nvSpPr>
      <xdr:spPr>
        <a:xfrm>
          <a:off x="8856764" y="4558962"/>
          <a:ext cx="1528418" cy="203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(YEAR)</a:t>
          </a:r>
        </a:p>
      </xdr:txBody>
    </xdr:sp>
    <xdr:clientData/>
  </xdr:twoCellAnchor>
  <xdr:twoCellAnchor>
    <xdr:from>
      <xdr:col>3</xdr:col>
      <xdr:colOff>300555</xdr:colOff>
      <xdr:row>46</xdr:row>
      <xdr:rowOff>76200</xdr:rowOff>
    </xdr:from>
    <xdr:to>
      <xdr:col>3</xdr:col>
      <xdr:colOff>812799</xdr:colOff>
      <xdr:row>46</xdr:row>
      <xdr:rowOff>76200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2A5F8F2F-2C59-B2EE-DEA5-DCCEECA09123}"/>
            </a:ext>
          </a:extLst>
        </xdr:cNvPr>
        <xdr:cNvCxnSpPr/>
      </xdr:nvCxnSpPr>
      <xdr:spPr>
        <a:xfrm>
          <a:off x="1131828" y="9635836"/>
          <a:ext cx="512244" cy="0"/>
        </a:xfrm>
        <a:prstGeom prst="line">
          <a:avLst/>
        </a:prstGeom>
        <a:ln w="762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257949</xdr:colOff>
      <xdr:row>43</xdr:row>
      <xdr:rowOff>83571</xdr:rowOff>
    </xdr:from>
    <xdr:to>
      <xdr:col>8</xdr:col>
      <xdr:colOff>649151</xdr:colOff>
      <xdr:row>49</xdr:row>
      <xdr:rowOff>39540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A1E6884-0051-A168-C921-C69C95FEA7D9}"/>
            </a:ext>
          </a:extLst>
        </xdr:cNvPr>
        <xdr:cNvGrpSpPr/>
      </xdr:nvGrpSpPr>
      <xdr:grpSpPr>
        <a:xfrm>
          <a:off x="3523663" y="8860178"/>
          <a:ext cx="3656917" cy="1180612"/>
          <a:chOff x="1901478" y="8917542"/>
          <a:chExt cx="3678261" cy="1188616"/>
        </a:xfrm>
      </xdr:grpSpPr>
      <xdr:sp macro="[0]!ThisWorkbook.RunPortalMacros" textlink="">
        <xdr:nvSpPr>
          <xdr:cNvPr id="53" name="Rounded Rectangle 52">
            <a:extLst>
              <a:ext uri="{FF2B5EF4-FFF2-40B4-BE49-F238E27FC236}">
                <a16:creationId xmlns:a16="http://schemas.microsoft.com/office/drawing/2014/main" id="{DC533625-9C0A-E0BE-BFED-D3CC56662D86}"/>
              </a:ext>
            </a:extLst>
          </xdr:cNvPr>
          <xdr:cNvSpPr/>
        </xdr:nvSpPr>
        <xdr:spPr>
          <a:xfrm>
            <a:off x="1901478" y="8917542"/>
            <a:ext cx="3678261" cy="1188616"/>
          </a:xfrm>
          <a:prstGeom prst="roundRect">
            <a:avLst/>
          </a:prstGeom>
          <a:solidFill>
            <a:schemeClr val="bg1"/>
          </a:solidFill>
          <a:ln w="152400">
            <a:solidFill>
              <a:schemeClr val="bg1">
                <a:lumMod val="6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5400" b="1" i="1" baseline="0">
              <a:solidFill>
                <a:schemeClr val="tx2">
                  <a:lumMod val="75000"/>
                  <a:lumOff val="25000"/>
                </a:schemeClr>
              </a:solidFill>
            </a:endParaRPr>
          </a:p>
        </xdr:txBody>
      </xdr:sp>
      <xdr:sp macro="[0]!ThisWorkbook.RunPortalMacros" textlink="">
        <xdr:nvSpPr>
          <xdr:cNvPr id="88" name="TextBox 87">
            <a:extLst>
              <a:ext uri="{FF2B5EF4-FFF2-40B4-BE49-F238E27FC236}">
                <a16:creationId xmlns:a16="http://schemas.microsoft.com/office/drawing/2014/main" id="{AA069214-043E-B248-B369-DC1290129210}"/>
              </a:ext>
            </a:extLst>
          </xdr:cNvPr>
          <xdr:cNvSpPr txBox="1"/>
        </xdr:nvSpPr>
        <xdr:spPr>
          <a:xfrm>
            <a:off x="2255850" y="8939611"/>
            <a:ext cx="2878848" cy="1159983"/>
          </a:xfrm>
          <a:prstGeom prst="rect">
            <a:avLst/>
          </a:prstGeom>
          <a:noFill/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4200" b="1" i="1" u="none">
                <a:solidFill>
                  <a:schemeClr val="accent4"/>
                </a:solidFill>
              </a:rPr>
              <a:t>SUBMIT</a:t>
            </a:r>
          </a:p>
        </xdr:txBody>
      </xdr:sp>
    </xdr:grpSp>
    <xdr:clientData/>
  </xdr:twoCellAnchor>
  <xdr:twoCellAnchor>
    <xdr:from>
      <xdr:col>10</xdr:col>
      <xdr:colOff>26933</xdr:colOff>
      <xdr:row>43</xdr:row>
      <xdr:rowOff>101181</xdr:rowOff>
    </xdr:from>
    <xdr:to>
      <xdr:col>14</xdr:col>
      <xdr:colOff>422071</xdr:colOff>
      <xdr:row>49</xdr:row>
      <xdr:rowOff>58392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B3DC6B1-EEBE-76C3-2B3E-496FFA639727}"/>
            </a:ext>
          </a:extLst>
        </xdr:cNvPr>
        <xdr:cNvGrpSpPr/>
      </xdr:nvGrpSpPr>
      <xdr:grpSpPr>
        <a:xfrm>
          <a:off x="8191219" y="8877788"/>
          <a:ext cx="3660852" cy="1181854"/>
          <a:chOff x="6653020" y="8807123"/>
          <a:chExt cx="3708181" cy="1171994"/>
        </a:xfrm>
      </xdr:grpSpPr>
      <xdr:sp macro="[0]!ThisWorkbook.ResetPortalQtyAndAmt" textlink="">
        <xdr:nvSpPr>
          <xdr:cNvPr id="4" name="Rounded Rectangle 3">
            <a:extLst>
              <a:ext uri="{FF2B5EF4-FFF2-40B4-BE49-F238E27FC236}">
                <a16:creationId xmlns:a16="http://schemas.microsoft.com/office/drawing/2014/main" id="{87C50E56-9289-D545-9126-0548165ED3C3}"/>
              </a:ext>
            </a:extLst>
          </xdr:cNvPr>
          <xdr:cNvSpPr/>
        </xdr:nvSpPr>
        <xdr:spPr>
          <a:xfrm>
            <a:off x="6653020" y="8807123"/>
            <a:ext cx="3708181" cy="1171994"/>
          </a:xfrm>
          <a:prstGeom prst="roundRect">
            <a:avLst/>
          </a:prstGeom>
          <a:solidFill>
            <a:schemeClr val="bg1"/>
          </a:solidFill>
          <a:ln w="152400">
            <a:solidFill>
              <a:schemeClr val="bg1">
                <a:lumMod val="6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5400" b="1" i="1" baseline="0">
              <a:solidFill>
                <a:schemeClr val="tx2">
                  <a:lumMod val="75000"/>
                  <a:lumOff val="25000"/>
                </a:schemeClr>
              </a:solidFill>
            </a:endParaRPr>
          </a:p>
        </xdr:txBody>
      </xdr:sp>
      <xdr:sp macro="[0]!ThisWorkbook.ResetPortalQtyAndAmt" textlink="">
        <xdr:nvSpPr>
          <xdr:cNvPr id="5" name="TextBox 4">
            <a:extLst>
              <a:ext uri="{FF2B5EF4-FFF2-40B4-BE49-F238E27FC236}">
                <a16:creationId xmlns:a16="http://schemas.microsoft.com/office/drawing/2014/main" id="{17107FDC-43D9-0F4A-98A0-1AB6CDBDF118}"/>
              </a:ext>
            </a:extLst>
          </xdr:cNvPr>
          <xdr:cNvSpPr txBox="1"/>
        </xdr:nvSpPr>
        <xdr:spPr>
          <a:xfrm>
            <a:off x="7026293" y="8829008"/>
            <a:ext cx="2908641" cy="1142119"/>
          </a:xfrm>
          <a:prstGeom prst="rect">
            <a:avLst/>
          </a:prstGeom>
          <a:noFill/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4200" b="1" i="1" u="none">
                <a:solidFill>
                  <a:schemeClr val="accent4"/>
                </a:solidFill>
              </a:rPr>
              <a:t>CLEAR</a:t>
            </a:r>
          </a:p>
        </xdr:txBody>
      </xdr:sp>
    </xdr:grpSp>
    <xdr:clientData/>
  </xdr:twoCellAnchor>
  <xdr:twoCellAnchor>
    <xdr:from>
      <xdr:col>9</xdr:col>
      <xdr:colOff>96023</xdr:colOff>
      <xdr:row>46</xdr:row>
      <xdr:rowOff>76200</xdr:rowOff>
    </xdr:from>
    <xdr:to>
      <xdr:col>9</xdr:col>
      <xdr:colOff>602495</xdr:colOff>
      <xdr:row>46</xdr:row>
      <xdr:rowOff>76200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89E4E254-17B4-7848-B989-53F5E6FB1CAD}"/>
            </a:ext>
          </a:extLst>
        </xdr:cNvPr>
        <xdr:cNvCxnSpPr/>
      </xdr:nvCxnSpPr>
      <xdr:spPr>
        <a:xfrm>
          <a:off x="5895690" y="9534676"/>
          <a:ext cx="506472" cy="0"/>
        </a:xfrm>
        <a:prstGeom prst="line">
          <a:avLst/>
        </a:prstGeom>
        <a:ln w="762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734279</xdr:colOff>
      <xdr:row>46</xdr:row>
      <xdr:rowOff>76200</xdr:rowOff>
    </xdr:from>
    <xdr:to>
      <xdr:col>15</xdr:col>
      <xdr:colOff>415251</xdr:colOff>
      <xdr:row>46</xdr:row>
      <xdr:rowOff>76200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A4BF8E8-0DFD-AC45-BCB3-39D6671A95A2}"/>
            </a:ext>
          </a:extLst>
        </xdr:cNvPr>
        <xdr:cNvCxnSpPr/>
      </xdr:nvCxnSpPr>
      <xdr:spPr>
        <a:xfrm>
          <a:off x="10709552" y="9635836"/>
          <a:ext cx="512244" cy="0"/>
        </a:xfrm>
        <a:prstGeom prst="line">
          <a:avLst/>
        </a:prstGeom>
        <a:ln w="762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19</xdr:row>
      <xdr:rowOff>0</xdr:rowOff>
    </xdr:from>
    <xdr:to>
      <xdr:col>7</xdr:col>
      <xdr:colOff>0</xdr:colOff>
      <xdr:row>22</xdr:row>
      <xdr:rowOff>0</xdr:rowOff>
    </xdr:to>
    <xdr:sp macro="" textlink="Data!X3">
      <xdr:nvSpPr>
        <xdr:cNvPr id="22" name="PORTAL_ORDER">
          <a:extLst>
            <a:ext uri="{FF2B5EF4-FFF2-40B4-BE49-F238E27FC236}">
              <a16:creationId xmlns:a16="http://schemas.microsoft.com/office/drawing/2014/main" id="{A4D92CA1-5ED6-AA8B-EE27-B05C5F2F0F1B}"/>
            </a:ext>
          </a:extLst>
        </xdr:cNvPr>
        <xdr:cNvSpPr txBox="1"/>
      </xdr:nvSpPr>
      <xdr:spPr>
        <a:xfrm>
          <a:off x="1653016" y="3830159"/>
          <a:ext cx="2479524" cy="604762"/>
        </a:xfrm>
        <a:prstGeom prst="rect">
          <a:avLst/>
        </a:prstGeom>
        <a:solidFill>
          <a:schemeClr val="bg1">
            <a:lumMod val="85000"/>
          </a:schemeClr>
        </a:solidFill>
        <a:ln w="38100" cmpd="sng"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fld id="{955588B6-EBF7-B045-ABBC-CFB4D9C71CCE}" type="TxLink">
            <a:rPr lang="en-US" sz="2200" b="1" i="0" u="none" strike="noStrike">
              <a:solidFill>
                <a:schemeClr val="accent4"/>
              </a:solidFill>
              <a:latin typeface="Aptos Narrow"/>
            </a:rPr>
            <a:pPr lvl="0" algn="ctr"/>
            <a:t>114</a:t>
          </a:fld>
          <a:endParaRPr lang="en-US" sz="2200" b="1">
            <a:solidFill>
              <a:schemeClr val="accent4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134815</xdr:colOff>
      <xdr:row>7</xdr:row>
      <xdr:rowOff>85852</xdr:rowOff>
    </xdr:from>
    <xdr:to>
      <xdr:col>1</xdr:col>
      <xdr:colOff>663621</xdr:colOff>
      <xdr:row>8</xdr:row>
      <xdr:rowOff>230936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699E2DB0-0477-40BF-8F98-00BCF7C0A095}"/>
            </a:ext>
          </a:extLst>
        </xdr:cNvPr>
        <xdr:cNvGrpSpPr/>
      </xdr:nvGrpSpPr>
      <xdr:grpSpPr>
        <a:xfrm>
          <a:off x="961323" y="1557439"/>
          <a:ext cx="528806" cy="528100"/>
          <a:chOff x="957328" y="1559889"/>
          <a:chExt cx="528806" cy="533453"/>
        </a:xfrm>
      </xdr:grpSpPr>
      <xdr:sp macro="[0]!Sheet2.GoBackWeekdays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2429662B-6AC9-721E-5690-5C2876CA7190}"/>
              </a:ext>
            </a:extLst>
          </xdr:cNvPr>
          <xdr:cNvSpPr/>
        </xdr:nvSpPr>
        <xdr:spPr>
          <a:xfrm>
            <a:off x="957328" y="1559889"/>
            <a:ext cx="528806" cy="533453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eet2.GoBackWeekdays" textlink="">
        <xdr:nvSpPr>
          <xdr:cNvPr id="3" name="Triangle 2">
            <a:extLst>
              <a:ext uri="{FF2B5EF4-FFF2-40B4-BE49-F238E27FC236}">
                <a16:creationId xmlns:a16="http://schemas.microsoft.com/office/drawing/2014/main" id="{2F4B54EA-95CD-2BC6-D3ED-C5D6B0A68DF5}"/>
              </a:ext>
            </a:extLst>
          </xdr:cNvPr>
          <xdr:cNvSpPr/>
        </xdr:nvSpPr>
        <xdr:spPr>
          <a:xfrm rot="16200000">
            <a:off x="1051044" y="1705238"/>
            <a:ext cx="280246" cy="239143"/>
          </a:xfrm>
          <a:prstGeom prst="triangle">
            <a:avLst/>
          </a:prstGeom>
          <a:solidFill>
            <a:schemeClr val="accent4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26</xdr:col>
      <xdr:colOff>153765</xdr:colOff>
      <xdr:row>7</xdr:row>
      <xdr:rowOff>85035</xdr:rowOff>
    </xdr:from>
    <xdr:to>
      <xdr:col>26</xdr:col>
      <xdr:colOff>690042</xdr:colOff>
      <xdr:row>8</xdr:row>
      <xdr:rowOff>228673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5C376DD-ED46-17B7-6CAB-54D7CF533910}"/>
            </a:ext>
          </a:extLst>
        </xdr:cNvPr>
        <xdr:cNvGrpSpPr/>
      </xdr:nvGrpSpPr>
      <xdr:grpSpPr>
        <a:xfrm>
          <a:off x="22650908" y="1556622"/>
          <a:ext cx="536277" cy="526654"/>
          <a:chOff x="22617525" y="1558235"/>
          <a:chExt cx="536277" cy="529718"/>
        </a:xfrm>
      </xdr:grpSpPr>
      <xdr:sp macro="[0]!Sheet2.AdvanceWeekdays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D7D2B11F-AC68-E544-BAC7-5E5A11E72FED}"/>
              </a:ext>
            </a:extLst>
          </xdr:cNvPr>
          <xdr:cNvSpPr/>
        </xdr:nvSpPr>
        <xdr:spPr>
          <a:xfrm>
            <a:off x="22617525" y="1558235"/>
            <a:ext cx="536277" cy="529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eet2.AdvanceWeekdays" textlink="">
        <xdr:nvSpPr>
          <xdr:cNvPr id="7" name="Triangle 6">
            <a:extLst>
              <a:ext uri="{FF2B5EF4-FFF2-40B4-BE49-F238E27FC236}">
                <a16:creationId xmlns:a16="http://schemas.microsoft.com/office/drawing/2014/main" id="{4C164505-DB0E-CE49-A4EB-1E237CABAABE}"/>
              </a:ext>
            </a:extLst>
          </xdr:cNvPr>
          <xdr:cNvSpPr/>
        </xdr:nvSpPr>
        <xdr:spPr>
          <a:xfrm rot="5400000">
            <a:off x="22752218" y="1703598"/>
            <a:ext cx="279177" cy="239143"/>
          </a:xfrm>
          <a:prstGeom prst="triangle">
            <a:avLst/>
          </a:prstGeom>
          <a:solidFill>
            <a:schemeClr val="accent4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215900</xdr:colOff>
      <xdr:row>3</xdr:row>
      <xdr:rowOff>25400</xdr:rowOff>
    </xdr:from>
    <xdr:to>
      <xdr:col>3</xdr:col>
      <xdr:colOff>761529</xdr:colOff>
      <xdr:row>5</xdr:row>
      <xdr:rowOff>154024</xdr:rowOff>
    </xdr:to>
    <xdr:sp macro="[0]!ThisWorkbook.ToggleRowsAndFlip" textlink="">
      <xdr:nvSpPr>
        <xdr:cNvPr id="2" name="Rounded Rectangle 1">
          <a:extLst>
            <a:ext uri="{FF2B5EF4-FFF2-40B4-BE49-F238E27FC236}">
              <a16:creationId xmlns:a16="http://schemas.microsoft.com/office/drawing/2014/main" id="{435DF0D1-C6F1-9F45-AD33-2FB4EE2203AC}"/>
            </a:ext>
          </a:extLst>
        </xdr:cNvPr>
        <xdr:cNvSpPr/>
      </xdr:nvSpPr>
      <xdr:spPr>
        <a:xfrm>
          <a:off x="2877820" y="645160"/>
          <a:ext cx="545629" cy="53502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214158</xdr:colOff>
      <xdr:row>3</xdr:row>
      <xdr:rowOff>121744</xdr:rowOff>
    </xdr:from>
    <xdr:to>
      <xdr:col>3</xdr:col>
      <xdr:colOff>725333</xdr:colOff>
      <xdr:row>5</xdr:row>
      <xdr:rowOff>18323</xdr:rowOff>
    </xdr:to>
    <xdr:grpSp>
      <xdr:nvGrpSpPr>
        <xdr:cNvPr id="6" name="FLIP">
          <a:extLst>
            <a:ext uri="{FF2B5EF4-FFF2-40B4-BE49-F238E27FC236}">
              <a16:creationId xmlns:a16="http://schemas.microsoft.com/office/drawing/2014/main" id="{5A2DD582-F5BA-CE36-7F8F-817DBD15DDF1}"/>
            </a:ext>
          </a:extLst>
        </xdr:cNvPr>
        <xdr:cNvGrpSpPr/>
      </xdr:nvGrpSpPr>
      <xdr:grpSpPr>
        <a:xfrm rot="10800000">
          <a:off x="2881158" y="744044"/>
          <a:ext cx="511175" cy="302979"/>
          <a:chOff x="2893292" y="745501"/>
          <a:chExt cx="511175" cy="306563"/>
        </a:xfrm>
        <a:solidFill>
          <a:schemeClr val="accent4"/>
        </a:solidFill>
      </xdr:grpSpPr>
      <xdr:sp macro="[0]!ThisWorkbook.ToggleRowsAndFlip" textlink="">
        <xdr:nvSpPr>
          <xdr:cNvPr id="4" name="Triangle 3">
            <a:extLst>
              <a:ext uri="{FF2B5EF4-FFF2-40B4-BE49-F238E27FC236}">
                <a16:creationId xmlns:a16="http://schemas.microsoft.com/office/drawing/2014/main" id="{63894909-CC22-6A4B-201B-A825386F1EE4}"/>
              </a:ext>
            </a:extLst>
          </xdr:cNvPr>
          <xdr:cNvSpPr/>
        </xdr:nvSpPr>
        <xdr:spPr>
          <a:xfrm rot="10800000">
            <a:off x="2962927" y="905773"/>
            <a:ext cx="370263" cy="146291"/>
          </a:xfrm>
          <a:prstGeom prst="triangle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hisWorkbook.ToggleRowsAndFlip" textlink="">
        <xdr:nvSpPr>
          <xdr:cNvPr id="5" name="Minus 4">
            <a:extLst>
              <a:ext uri="{FF2B5EF4-FFF2-40B4-BE49-F238E27FC236}">
                <a16:creationId xmlns:a16="http://schemas.microsoft.com/office/drawing/2014/main" id="{FB6974EB-17E1-C071-EE52-55F8EBCF88AE}"/>
              </a:ext>
            </a:extLst>
          </xdr:cNvPr>
          <xdr:cNvSpPr/>
        </xdr:nvSpPr>
        <xdr:spPr>
          <a:xfrm rot="10800000">
            <a:off x="2893292" y="745501"/>
            <a:ext cx="511175" cy="204897"/>
          </a:xfrm>
          <a:prstGeom prst="mathMinus">
            <a:avLst/>
          </a:prstGeom>
          <a:grpFill/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18</xdr:row>
      <xdr:rowOff>0</xdr:rowOff>
    </xdr:from>
    <xdr:to>
      <xdr:col>29</xdr:col>
      <xdr:colOff>0</xdr:colOff>
      <xdr:row>35</xdr:row>
      <xdr:rowOff>0</xdr:rowOff>
    </xdr:to>
    <xdr:grpSp>
      <xdr:nvGrpSpPr>
        <xdr:cNvPr id="2" name="Exit_Button">
          <a:extLst>
            <a:ext uri="{FF2B5EF4-FFF2-40B4-BE49-F238E27FC236}">
              <a16:creationId xmlns:a16="http://schemas.microsoft.com/office/drawing/2014/main" id="{5B8D5889-510E-1743-B9FF-6E1634356843}"/>
            </a:ext>
          </a:extLst>
        </xdr:cNvPr>
        <xdr:cNvGrpSpPr/>
      </xdr:nvGrpSpPr>
      <xdr:grpSpPr>
        <a:xfrm>
          <a:off x="18592800" y="3725333"/>
          <a:ext cx="4978400" cy="3589867"/>
          <a:chOff x="18491200" y="5943600"/>
          <a:chExt cx="4953000" cy="3759200"/>
        </a:xfrm>
      </xdr:grpSpPr>
      <xdr:sp macro="[0]!ThisWorkbook.ExitAndHideSheet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4725D667-6694-9A8B-E53A-44BE858342D7}"/>
              </a:ext>
            </a:extLst>
          </xdr:cNvPr>
          <xdr:cNvSpPr/>
        </xdr:nvSpPr>
        <xdr:spPr>
          <a:xfrm>
            <a:off x="18491200" y="5943600"/>
            <a:ext cx="4953000" cy="3759200"/>
          </a:xfrm>
          <a:prstGeom prst="roundRect">
            <a:avLst/>
          </a:prstGeom>
          <a:solidFill>
            <a:schemeClr val="bg2">
              <a:lumMod val="75000"/>
            </a:schemeClr>
          </a:solidFill>
          <a:ln w="28575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4800" b="1" u="none">
              <a:solidFill>
                <a:schemeClr val="tx1"/>
              </a:solidFill>
            </a:endParaRPr>
          </a:p>
          <a:p>
            <a:pPr algn="ctr"/>
            <a:r>
              <a:rPr lang="en-US" sz="4800" b="1" u="none">
                <a:solidFill>
                  <a:schemeClr val="tx1"/>
                </a:solidFill>
              </a:rPr>
              <a:t>EXIT</a:t>
            </a:r>
            <a:r>
              <a:rPr lang="en-US" sz="4800" b="1" u="none" baseline="0">
                <a:solidFill>
                  <a:schemeClr val="tx1"/>
                </a:solidFill>
              </a:rPr>
              <a:t> PAGE</a:t>
            </a:r>
            <a:endParaRPr lang="en-US" sz="4800" b="1" u="none">
              <a:solidFill>
                <a:schemeClr val="tx1"/>
              </a:solidFill>
            </a:endParaRPr>
          </a:p>
        </xdr:txBody>
      </xdr:sp>
      <xdr:pic macro="[0]!ThisWorkbook.ExitAndHideSheet">
        <xdr:nvPicPr>
          <xdr:cNvPr id="4" name="Graphic 3" descr="Door Open with solid fill">
            <a:extLst>
              <a:ext uri="{FF2B5EF4-FFF2-40B4-BE49-F238E27FC236}">
                <a16:creationId xmlns:a16="http://schemas.microsoft.com/office/drawing/2014/main" id="{47F1506E-E121-D4EF-9E29-3D8ED66FD5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061767" y="7755466"/>
            <a:ext cx="905933" cy="914400"/>
          </a:xfrm>
          <a:prstGeom prst="rect">
            <a:avLst/>
          </a:prstGeom>
        </xdr:spPr>
      </xdr:pic>
      <xdr:sp macro="[0]!ThisWorkbook.ExitAndHideSheet" textlink="">
        <xdr:nvSpPr>
          <xdr:cNvPr id="5" name="Right Arrow 4">
            <a:extLst>
              <a:ext uri="{FF2B5EF4-FFF2-40B4-BE49-F238E27FC236}">
                <a16:creationId xmlns:a16="http://schemas.microsoft.com/office/drawing/2014/main" id="{993A4B8D-E96B-DD02-44DA-930694AB3B7A}"/>
              </a:ext>
            </a:extLst>
          </xdr:cNvPr>
          <xdr:cNvSpPr/>
        </xdr:nvSpPr>
        <xdr:spPr>
          <a:xfrm rot="10800000">
            <a:off x="21035434" y="7907867"/>
            <a:ext cx="677333" cy="609600"/>
          </a:xfrm>
          <a:prstGeom prst="rightArrow">
            <a:avLst/>
          </a:prstGeom>
          <a:solidFill>
            <a:schemeClr val="tx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18</xdr:row>
      <xdr:rowOff>0</xdr:rowOff>
    </xdr:from>
    <xdr:to>
      <xdr:col>29</xdr:col>
      <xdr:colOff>0</xdr:colOff>
      <xdr:row>35</xdr:row>
      <xdr:rowOff>0</xdr:rowOff>
    </xdr:to>
    <xdr:grpSp>
      <xdr:nvGrpSpPr>
        <xdr:cNvPr id="2" name="Exit_Button">
          <a:extLst>
            <a:ext uri="{FF2B5EF4-FFF2-40B4-BE49-F238E27FC236}">
              <a16:creationId xmlns:a16="http://schemas.microsoft.com/office/drawing/2014/main" id="{98007702-F11E-A846-AB47-0B6BD920796E}"/>
            </a:ext>
          </a:extLst>
        </xdr:cNvPr>
        <xdr:cNvGrpSpPr/>
      </xdr:nvGrpSpPr>
      <xdr:grpSpPr>
        <a:xfrm>
          <a:off x="18592800" y="3725333"/>
          <a:ext cx="4978400" cy="3589867"/>
          <a:chOff x="18491200" y="5943600"/>
          <a:chExt cx="4953000" cy="3759200"/>
        </a:xfrm>
      </xdr:grpSpPr>
      <xdr:sp macro="[0]!ThisWorkbook.ExitAndHideSheet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E3AC7D7A-5C75-CD6F-F17B-6D6B95CBAD55}"/>
              </a:ext>
            </a:extLst>
          </xdr:cNvPr>
          <xdr:cNvSpPr/>
        </xdr:nvSpPr>
        <xdr:spPr>
          <a:xfrm>
            <a:off x="18491200" y="5943600"/>
            <a:ext cx="4953000" cy="3759200"/>
          </a:xfrm>
          <a:prstGeom prst="roundRect">
            <a:avLst/>
          </a:prstGeom>
          <a:solidFill>
            <a:schemeClr val="bg2">
              <a:lumMod val="75000"/>
            </a:schemeClr>
          </a:solidFill>
          <a:ln w="28575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4800" b="1" u="none">
              <a:solidFill>
                <a:schemeClr val="tx1"/>
              </a:solidFill>
            </a:endParaRPr>
          </a:p>
          <a:p>
            <a:pPr algn="ctr"/>
            <a:r>
              <a:rPr lang="en-US" sz="4800" b="1" u="none">
                <a:solidFill>
                  <a:schemeClr val="tx1"/>
                </a:solidFill>
              </a:rPr>
              <a:t>EXIT</a:t>
            </a:r>
            <a:r>
              <a:rPr lang="en-US" sz="4800" b="1" u="none" baseline="0">
                <a:solidFill>
                  <a:schemeClr val="tx1"/>
                </a:solidFill>
              </a:rPr>
              <a:t> PAGE</a:t>
            </a:r>
            <a:endParaRPr lang="en-US" sz="4800" b="1" u="none">
              <a:solidFill>
                <a:schemeClr val="tx1"/>
              </a:solidFill>
            </a:endParaRPr>
          </a:p>
        </xdr:txBody>
      </xdr:sp>
      <xdr:pic macro="[0]!ThisWorkbook.ExitAndHideSheet">
        <xdr:nvPicPr>
          <xdr:cNvPr id="4" name="Graphic 3" descr="Door Open with solid fill">
            <a:extLst>
              <a:ext uri="{FF2B5EF4-FFF2-40B4-BE49-F238E27FC236}">
                <a16:creationId xmlns:a16="http://schemas.microsoft.com/office/drawing/2014/main" id="{A83058CC-4F7F-F335-AC47-6188D58EB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061767" y="7755466"/>
            <a:ext cx="905933" cy="914400"/>
          </a:xfrm>
          <a:prstGeom prst="rect">
            <a:avLst/>
          </a:prstGeom>
        </xdr:spPr>
      </xdr:pic>
      <xdr:sp macro="[0]!ThisWorkbook.ExitAndHideSheet" textlink="">
        <xdr:nvSpPr>
          <xdr:cNvPr id="5" name="Right Arrow 4">
            <a:extLst>
              <a:ext uri="{FF2B5EF4-FFF2-40B4-BE49-F238E27FC236}">
                <a16:creationId xmlns:a16="http://schemas.microsoft.com/office/drawing/2014/main" id="{BD90B932-C9CB-C677-CD97-7F43E1F5A4D3}"/>
              </a:ext>
            </a:extLst>
          </xdr:cNvPr>
          <xdr:cNvSpPr/>
        </xdr:nvSpPr>
        <xdr:spPr>
          <a:xfrm rot="10800000">
            <a:off x="21035434" y="7907867"/>
            <a:ext cx="677333" cy="609600"/>
          </a:xfrm>
          <a:prstGeom prst="rightArrow">
            <a:avLst/>
          </a:prstGeom>
          <a:solidFill>
            <a:schemeClr val="tx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18</xdr:row>
      <xdr:rowOff>0</xdr:rowOff>
    </xdr:from>
    <xdr:to>
      <xdr:col>29</xdr:col>
      <xdr:colOff>0</xdr:colOff>
      <xdr:row>35</xdr:row>
      <xdr:rowOff>0</xdr:rowOff>
    </xdr:to>
    <xdr:grpSp>
      <xdr:nvGrpSpPr>
        <xdr:cNvPr id="2" name="Exit_Button">
          <a:extLst>
            <a:ext uri="{FF2B5EF4-FFF2-40B4-BE49-F238E27FC236}">
              <a16:creationId xmlns:a16="http://schemas.microsoft.com/office/drawing/2014/main" id="{191BCE49-DAFB-B946-886A-D33CEF4C488C}"/>
            </a:ext>
          </a:extLst>
        </xdr:cNvPr>
        <xdr:cNvGrpSpPr/>
      </xdr:nvGrpSpPr>
      <xdr:grpSpPr>
        <a:xfrm>
          <a:off x="18654426" y="3705902"/>
          <a:ext cx="4996722" cy="3580983"/>
          <a:chOff x="18491200" y="5943600"/>
          <a:chExt cx="4953000" cy="3759200"/>
        </a:xfrm>
      </xdr:grpSpPr>
      <xdr:sp macro="[0]!ThisWorkbook.ExitAndHideSheet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19F57D81-F3AD-6791-E694-005214801EF5}"/>
              </a:ext>
            </a:extLst>
          </xdr:cNvPr>
          <xdr:cNvSpPr/>
        </xdr:nvSpPr>
        <xdr:spPr>
          <a:xfrm>
            <a:off x="18491200" y="5943600"/>
            <a:ext cx="4953000" cy="3759200"/>
          </a:xfrm>
          <a:prstGeom prst="roundRect">
            <a:avLst/>
          </a:prstGeom>
          <a:solidFill>
            <a:schemeClr val="bg2">
              <a:lumMod val="75000"/>
            </a:schemeClr>
          </a:solidFill>
          <a:ln w="28575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4800" b="1" u="none">
              <a:solidFill>
                <a:schemeClr val="tx1"/>
              </a:solidFill>
            </a:endParaRPr>
          </a:p>
          <a:p>
            <a:pPr algn="ctr"/>
            <a:r>
              <a:rPr lang="en-US" sz="4800" b="1" u="none">
                <a:solidFill>
                  <a:schemeClr val="tx1"/>
                </a:solidFill>
              </a:rPr>
              <a:t>EXIT</a:t>
            </a:r>
            <a:r>
              <a:rPr lang="en-US" sz="4800" b="1" u="none" baseline="0">
                <a:solidFill>
                  <a:schemeClr val="tx1"/>
                </a:solidFill>
              </a:rPr>
              <a:t> PAGE</a:t>
            </a:r>
            <a:endParaRPr lang="en-US" sz="4800" b="1" u="none">
              <a:solidFill>
                <a:schemeClr val="tx1"/>
              </a:solidFill>
            </a:endParaRPr>
          </a:p>
        </xdr:txBody>
      </xdr:sp>
      <xdr:pic macro="[0]!ThisWorkbook.ExitAndHideSheet">
        <xdr:nvPicPr>
          <xdr:cNvPr id="4" name="Graphic 3" descr="Door Open with solid fill">
            <a:extLst>
              <a:ext uri="{FF2B5EF4-FFF2-40B4-BE49-F238E27FC236}">
                <a16:creationId xmlns:a16="http://schemas.microsoft.com/office/drawing/2014/main" id="{FDBB9A10-BE4E-2CC7-4CB2-E044AAFBD7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061767" y="7755466"/>
            <a:ext cx="905933" cy="914400"/>
          </a:xfrm>
          <a:prstGeom prst="rect">
            <a:avLst/>
          </a:prstGeom>
        </xdr:spPr>
      </xdr:pic>
      <xdr:sp macro="[0]!ThisWorkbook.ExitAndHideSheet" textlink="">
        <xdr:nvSpPr>
          <xdr:cNvPr id="5" name="Right Arrow 4">
            <a:extLst>
              <a:ext uri="{FF2B5EF4-FFF2-40B4-BE49-F238E27FC236}">
                <a16:creationId xmlns:a16="http://schemas.microsoft.com/office/drawing/2014/main" id="{908CBB50-9B2B-FBD1-7827-452B59F4A850}"/>
              </a:ext>
            </a:extLst>
          </xdr:cNvPr>
          <xdr:cNvSpPr/>
        </xdr:nvSpPr>
        <xdr:spPr>
          <a:xfrm rot="10800000">
            <a:off x="21035434" y="7907867"/>
            <a:ext cx="677333" cy="609600"/>
          </a:xfrm>
          <a:prstGeom prst="rightArrow">
            <a:avLst/>
          </a:prstGeom>
          <a:solidFill>
            <a:schemeClr val="tx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18</xdr:row>
      <xdr:rowOff>0</xdr:rowOff>
    </xdr:from>
    <xdr:to>
      <xdr:col>29</xdr:col>
      <xdr:colOff>0</xdr:colOff>
      <xdr:row>35</xdr:row>
      <xdr:rowOff>0</xdr:rowOff>
    </xdr:to>
    <xdr:grpSp>
      <xdr:nvGrpSpPr>
        <xdr:cNvPr id="6" name="Exit_Button">
          <a:extLst>
            <a:ext uri="{FF2B5EF4-FFF2-40B4-BE49-F238E27FC236}">
              <a16:creationId xmlns:a16="http://schemas.microsoft.com/office/drawing/2014/main" id="{73B6AD4C-7A75-ED12-EE2E-37DEF22F5E2D}"/>
            </a:ext>
          </a:extLst>
        </xdr:cNvPr>
        <xdr:cNvGrpSpPr/>
      </xdr:nvGrpSpPr>
      <xdr:grpSpPr>
        <a:xfrm>
          <a:off x="18592800" y="3725333"/>
          <a:ext cx="4978400" cy="3589867"/>
          <a:chOff x="18491200" y="5943600"/>
          <a:chExt cx="4953000" cy="3759200"/>
        </a:xfrm>
      </xdr:grpSpPr>
      <xdr:sp macro="[0]!ThisWorkbook.ExitAndHideSheet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9AAE987A-E169-A578-B6AF-A8561DB830D0}"/>
              </a:ext>
            </a:extLst>
          </xdr:cNvPr>
          <xdr:cNvSpPr/>
        </xdr:nvSpPr>
        <xdr:spPr>
          <a:xfrm>
            <a:off x="18491200" y="5943600"/>
            <a:ext cx="4953000" cy="3759200"/>
          </a:xfrm>
          <a:prstGeom prst="roundRect">
            <a:avLst/>
          </a:prstGeom>
          <a:solidFill>
            <a:schemeClr val="bg2">
              <a:lumMod val="75000"/>
            </a:schemeClr>
          </a:solidFill>
          <a:ln w="28575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4800" b="1" u="none">
              <a:solidFill>
                <a:schemeClr val="tx1"/>
              </a:solidFill>
            </a:endParaRPr>
          </a:p>
          <a:p>
            <a:pPr algn="ctr"/>
            <a:r>
              <a:rPr lang="en-US" sz="4800" b="1" u="none">
                <a:solidFill>
                  <a:schemeClr val="tx1"/>
                </a:solidFill>
              </a:rPr>
              <a:t>EXIT</a:t>
            </a:r>
            <a:r>
              <a:rPr lang="en-US" sz="4800" b="1" u="none" baseline="0">
                <a:solidFill>
                  <a:schemeClr val="tx1"/>
                </a:solidFill>
              </a:rPr>
              <a:t> PAGE</a:t>
            </a:r>
            <a:endParaRPr lang="en-US" sz="4800" b="1" u="none">
              <a:solidFill>
                <a:schemeClr val="tx1"/>
              </a:solidFill>
            </a:endParaRPr>
          </a:p>
        </xdr:txBody>
      </xdr:sp>
      <xdr:pic macro="[0]!ThisWorkbook.ExitAndHideSheet">
        <xdr:nvPicPr>
          <xdr:cNvPr id="4" name="Graphic 3" descr="Door Open with solid fill">
            <a:extLst>
              <a:ext uri="{FF2B5EF4-FFF2-40B4-BE49-F238E27FC236}">
                <a16:creationId xmlns:a16="http://schemas.microsoft.com/office/drawing/2014/main" id="{C9B84568-ABB9-EFC4-1DBE-18A702BDE0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061767" y="7755466"/>
            <a:ext cx="905933" cy="914400"/>
          </a:xfrm>
          <a:prstGeom prst="rect">
            <a:avLst/>
          </a:prstGeom>
        </xdr:spPr>
      </xdr:pic>
      <xdr:sp macro="[0]!ThisWorkbook.ExitAndHideSheet" textlink="">
        <xdr:nvSpPr>
          <xdr:cNvPr id="5" name="Right Arrow 4">
            <a:extLst>
              <a:ext uri="{FF2B5EF4-FFF2-40B4-BE49-F238E27FC236}">
                <a16:creationId xmlns:a16="http://schemas.microsoft.com/office/drawing/2014/main" id="{8F9669C6-A3A3-DF68-A7B5-016F111C066E}"/>
              </a:ext>
            </a:extLst>
          </xdr:cNvPr>
          <xdr:cNvSpPr/>
        </xdr:nvSpPr>
        <xdr:spPr>
          <a:xfrm rot="10800000">
            <a:off x="21035434" y="7907867"/>
            <a:ext cx="677333" cy="609600"/>
          </a:xfrm>
          <a:prstGeom prst="rightArrow">
            <a:avLst/>
          </a:prstGeom>
          <a:solidFill>
            <a:schemeClr val="tx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163021</xdr:colOff>
      <xdr:row>12</xdr:row>
      <xdr:rowOff>120316</xdr:rowOff>
    </xdr:from>
    <xdr:to>
      <xdr:col>48</xdr:col>
      <xdr:colOff>262192</xdr:colOff>
      <xdr:row>15</xdr:row>
      <xdr:rowOff>168962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CA6235EF-6295-EF4C-A672-F58455661041}"/>
            </a:ext>
          </a:extLst>
        </xdr:cNvPr>
        <xdr:cNvSpPr/>
      </xdr:nvSpPr>
      <xdr:spPr>
        <a:xfrm rot="10800000">
          <a:off x="44809782" y="2660316"/>
          <a:ext cx="921987" cy="683646"/>
        </a:xfrm>
        <a:prstGeom prst="rightArrow">
          <a:avLst/>
        </a:prstGeom>
        <a:solidFill>
          <a:schemeClr val="tx2">
            <a:lumMod val="75000"/>
            <a:lumOff val="25000"/>
          </a:schemeClr>
        </a:solidFill>
        <a:ln w="5715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18</xdr:row>
      <xdr:rowOff>-1</xdr:rowOff>
    </xdr:from>
    <xdr:to>
      <xdr:col>48</xdr:col>
      <xdr:colOff>380707</xdr:colOff>
      <xdr:row>38</xdr:row>
      <xdr:rowOff>175987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D089C8EC-C25F-3540-BC1C-3264937739AB}"/>
            </a:ext>
          </a:extLst>
        </xdr:cNvPr>
        <xdr:cNvGrpSpPr/>
      </xdr:nvGrpSpPr>
      <xdr:grpSpPr>
        <a:xfrm>
          <a:off x="41691719" y="3770312"/>
          <a:ext cx="4547894" cy="4144738"/>
          <a:chOff x="48860112" y="1499310"/>
          <a:chExt cx="2102464" cy="1857353"/>
        </a:xfrm>
      </xdr:grpSpPr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id="{CC480AE2-D8FB-638E-2D03-368F094EFAD7}"/>
              </a:ext>
            </a:extLst>
          </xdr:cNvPr>
          <xdr:cNvSpPr/>
        </xdr:nvSpPr>
        <xdr:spPr>
          <a:xfrm>
            <a:off x="48860112" y="1499310"/>
            <a:ext cx="2102464" cy="1857353"/>
          </a:xfrm>
          <a:prstGeom prst="rect">
            <a:avLst/>
          </a:prstGeom>
          <a:solidFill>
            <a:schemeClr val="tx2">
              <a:lumMod val="75000"/>
              <a:lumOff val="25000"/>
            </a:schemeClr>
          </a:solidFill>
          <a:ln w="76200">
            <a:solidFill>
              <a:schemeClr val="bg1">
                <a:lumMod val="8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314A7141-9CA5-6655-5D60-F2ADE7211A85}"/>
              </a:ext>
            </a:extLst>
          </xdr:cNvPr>
          <xdr:cNvGrpSpPr/>
        </xdr:nvGrpSpPr>
        <xdr:grpSpPr>
          <a:xfrm>
            <a:off x="50044949" y="2832271"/>
            <a:ext cx="622232" cy="300126"/>
            <a:chOff x="40495561" y="2842818"/>
            <a:chExt cx="619965" cy="302291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50" name="Rounded Rectangle 49">
              <a:extLst>
                <a:ext uri="{FF2B5EF4-FFF2-40B4-BE49-F238E27FC236}">
                  <a16:creationId xmlns:a16="http://schemas.microsoft.com/office/drawing/2014/main" id="{42D58285-307E-D517-A448-A03ADB73968C}"/>
                </a:ext>
              </a:extLst>
            </xdr:cNvPr>
            <xdr:cNvSpPr/>
          </xdr:nvSpPr>
          <xdr:spPr>
            <a:xfrm>
              <a:off x="40495561" y="2842818"/>
              <a:ext cx="619965" cy="302291"/>
            </a:xfrm>
            <a:prstGeom prst="roundRect">
              <a:avLst/>
            </a:prstGeom>
            <a:grpFill/>
            <a:ln w="6350">
              <a:solidFill>
                <a:schemeClr val="tx2">
                  <a:lumMod val="75000"/>
                  <a:lumOff val="25000"/>
                </a:schemeClr>
              </a:solidFill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65100" prst="coolSlant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lvl="0" algn="l"/>
              <a:r>
                <a:rPr lang="en-US" sz="2400" b="1">
                  <a:solidFill>
                    <a:schemeClr val="tx2">
                      <a:lumMod val="75000"/>
                      <a:lumOff val="25000"/>
                    </a:schemeClr>
                  </a:solidFill>
                </a:rPr>
                <a:t>  NEXT</a:t>
              </a:r>
            </a:p>
          </xdr:txBody>
        </xdr:sp>
        <xdr:sp macro="" textlink="">
          <xdr:nvSpPr>
            <xdr:cNvPr id="51" name="Triangle 50">
              <a:extLst>
                <a:ext uri="{FF2B5EF4-FFF2-40B4-BE49-F238E27FC236}">
                  <a16:creationId xmlns:a16="http://schemas.microsoft.com/office/drawing/2014/main" id="{E7B116C2-453C-E994-E0FB-A631440E9E2B}"/>
                </a:ext>
              </a:extLst>
            </xdr:cNvPr>
            <xdr:cNvSpPr/>
          </xdr:nvSpPr>
          <xdr:spPr>
            <a:xfrm rot="5400000">
              <a:off x="40922450" y="2968164"/>
              <a:ext cx="94273" cy="45630"/>
            </a:xfrm>
            <a:prstGeom prst="triangle">
              <a:avLst/>
            </a:prstGeom>
            <a:solidFill>
              <a:schemeClr val="tx2">
                <a:lumMod val="75000"/>
                <a:lumOff val="25000"/>
              </a:schemeClr>
            </a:solidFill>
            <a:ln>
              <a:solidFill>
                <a:schemeClr val="tx2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2">
                    <a:lumMod val="75000"/>
                    <a:lumOff val="25000"/>
                  </a:schemeClr>
                </a:solidFill>
              </a:endParaRPr>
            </a:p>
          </xdr:txBody>
        </xdr:sp>
      </xdr:grp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885833D3-5948-58E4-81F0-FA1A2BCEC20B}"/>
              </a:ext>
            </a:extLst>
          </xdr:cNvPr>
          <xdr:cNvSpPr txBox="1"/>
        </xdr:nvSpPr>
        <xdr:spPr>
          <a:xfrm>
            <a:off x="49075190" y="1694481"/>
            <a:ext cx="1660614" cy="10760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200">
                <a:solidFill>
                  <a:schemeClr val="bg1">
                    <a:lumMod val="85000"/>
                  </a:schemeClr>
                </a:solidFill>
              </a:rPr>
              <a:t>Start demo by creating</a:t>
            </a:r>
            <a:r>
              <a:rPr lang="en-US" sz="3200" baseline="0">
                <a:solidFill>
                  <a:schemeClr val="bg1">
                    <a:lumMod val="85000"/>
                  </a:schemeClr>
                </a:solidFill>
              </a:rPr>
              <a:t> a new sale. First, enter your date. </a:t>
            </a:r>
            <a:endParaRPr lang="en-US" sz="3200">
              <a:solidFill>
                <a:schemeClr val="bg1">
                  <a:lumMod val="85000"/>
                </a:schemeClr>
              </a:solidFill>
            </a:endParaRPr>
          </a:p>
        </xdr:txBody>
      </xdr:sp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1128D51D-0D22-85CB-4613-A34F88D68DF8}"/>
              </a:ext>
            </a:extLst>
          </xdr:cNvPr>
          <xdr:cNvGrpSpPr/>
        </xdr:nvGrpSpPr>
        <xdr:grpSpPr>
          <a:xfrm>
            <a:off x="49164574" y="2831188"/>
            <a:ext cx="624027" cy="300126"/>
            <a:chOff x="46475240" y="2822048"/>
            <a:chExt cx="623378" cy="299029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48" name="Rounded Rectangle 47">
              <a:extLst>
                <a:ext uri="{FF2B5EF4-FFF2-40B4-BE49-F238E27FC236}">
                  <a16:creationId xmlns:a16="http://schemas.microsoft.com/office/drawing/2014/main" id="{AD0DC718-DBC8-20BD-E9FC-51AC706D89B8}"/>
                </a:ext>
              </a:extLst>
            </xdr:cNvPr>
            <xdr:cNvSpPr/>
          </xdr:nvSpPr>
          <xdr:spPr>
            <a:xfrm>
              <a:off x="46475240" y="2822048"/>
              <a:ext cx="623378" cy="299029"/>
            </a:xfrm>
            <a:prstGeom prst="roundRect">
              <a:avLst/>
            </a:prstGeom>
            <a:grpFill/>
            <a:ln w="6350">
              <a:solidFill>
                <a:schemeClr val="tx2">
                  <a:lumMod val="75000"/>
                  <a:lumOff val="25000"/>
                </a:schemeClr>
              </a:solidFill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65100" prst="coolSlant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lvl="0" algn="l"/>
              <a:r>
                <a:rPr lang="en-US" sz="2400" b="1" u="none">
                  <a:solidFill>
                    <a:schemeClr val="tx2">
                      <a:lumMod val="75000"/>
                      <a:lumOff val="25000"/>
                    </a:schemeClr>
                  </a:solidFill>
                </a:rPr>
                <a:t>     </a:t>
              </a:r>
              <a:r>
                <a:rPr lang="en-US" sz="2400" b="1" u="none" baseline="0">
                  <a:solidFill>
                    <a:schemeClr val="tx2">
                      <a:lumMod val="75000"/>
                      <a:lumOff val="25000"/>
                    </a:schemeClr>
                  </a:solidFill>
                </a:rPr>
                <a:t> </a:t>
              </a:r>
              <a:r>
                <a:rPr lang="en-US" sz="2400" b="1" u="none">
                  <a:solidFill>
                    <a:schemeClr val="tx2">
                      <a:lumMod val="75000"/>
                      <a:lumOff val="25000"/>
                    </a:schemeClr>
                  </a:solidFill>
                </a:rPr>
                <a:t>PREV</a:t>
              </a:r>
            </a:p>
          </xdr:txBody>
        </xdr:sp>
        <xdr:sp macro="" textlink="">
          <xdr:nvSpPr>
            <xdr:cNvPr id="49" name="Triangle 48">
              <a:extLst>
                <a:ext uri="{FF2B5EF4-FFF2-40B4-BE49-F238E27FC236}">
                  <a16:creationId xmlns:a16="http://schemas.microsoft.com/office/drawing/2014/main" id="{A43EB784-D550-FDEF-FD00-02D895BA2548}"/>
                </a:ext>
              </a:extLst>
            </xdr:cNvPr>
            <xdr:cNvSpPr/>
          </xdr:nvSpPr>
          <xdr:spPr>
            <a:xfrm rot="5400000" flipV="1">
              <a:off x="46568980" y="2943329"/>
              <a:ext cx="93919" cy="49602"/>
            </a:xfrm>
            <a:prstGeom prst="triangle">
              <a:avLst/>
            </a:prstGeom>
            <a:solidFill>
              <a:schemeClr val="tx2">
                <a:lumMod val="75000"/>
                <a:lumOff val="25000"/>
              </a:schemeClr>
            </a:solidFill>
            <a:ln>
              <a:solidFill>
                <a:schemeClr val="tx2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 u="none">
                <a:solidFill>
                  <a:schemeClr val="tx2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88EEC-F4F1-B145-9D9D-0691E73053D7}">
  <sheetPr codeName="Sheet1"/>
  <dimension ref="V3:V35"/>
  <sheetViews>
    <sheetView showGridLines="0" zoomScale="56" zoomScaleNormal="53" workbookViewId="0"/>
  </sheetViews>
  <sheetFormatPr baseColWidth="10" defaultRowHeight="16" x14ac:dyDescent="0.2"/>
  <sheetData>
    <row r="3" ht="16" customHeight="1" x14ac:dyDescent="0.2"/>
    <row r="4" ht="16" customHeight="1" x14ac:dyDescent="0.2"/>
    <row r="5" ht="16" customHeight="1" x14ac:dyDescent="0.2"/>
    <row r="6" ht="16" customHeight="1" x14ac:dyDescent="0.2"/>
    <row r="7" ht="16" customHeight="1" x14ac:dyDescent="0.2"/>
    <row r="9" ht="16" customHeight="1" x14ac:dyDescent="0.2"/>
    <row r="10" ht="16" customHeight="1" x14ac:dyDescent="0.2"/>
    <row r="11" ht="16" customHeight="1" x14ac:dyDescent="0.2"/>
    <row r="12" ht="16" customHeight="1" x14ac:dyDescent="0.2"/>
    <row r="13" ht="16" customHeight="1" x14ac:dyDescent="0.2"/>
    <row r="14" ht="16" customHeight="1" x14ac:dyDescent="0.2"/>
    <row r="15" ht="16" customHeight="1" x14ac:dyDescent="0.2"/>
    <row r="17" spans="22:22" ht="16" customHeight="1" x14ac:dyDescent="0.2"/>
    <row r="18" spans="22:22" ht="16" customHeight="1" x14ac:dyDescent="0.2"/>
    <row r="19" spans="22:22" ht="16" customHeight="1" x14ac:dyDescent="0.2"/>
    <row r="20" spans="22:22" ht="16" customHeight="1" x14ac:dyDescent="0.2"/>
    <row r="21" spans="22:22" ht="16" customHeight="1" x14ac:dyDescent="0.2"/>
    <row r="22" spans="22:22" ht="16" customHeight="1" x14ac:dyDescent="0.2"/>
    <row r="23" spans="22:22" ht="16" customHeight="1" x14ac:dyDescent="0.2"/>
    <row r="25" spans="22:22" ht="16" customHeight="1" x14ac:dyDescent="0.2"/>
    <row r="26" spans="22:22" ht="16" customHeight="1" x14ac:dyDescent="0.2"/>
    <row r="27" spans="22:22" ht="16" customHeight="1" x14ac:dyDescent="0.2"/>
    <row r="28" spans="22:22" ht="16" customHeight="1" x14ac:dyDescent="0.2"/>
    <row r="29" spans="22:22" ht="16" customHeight="1" x14ac:dyDescent="0.2"/>
    <row r="30" spans="22:22" ht="16" customHeight="1" x14ac:dyDescent="0.2"/>
    <row r="31" spans="22:22" ht="16" customHeight="1" x14ac:dyDescent="0.2">
      <c r="V31" s="92"/>
    </row>
    <row r="33" ht="16" customHeight="1" x14ac:dyDescent="0.2"/>
    <row r="34" ht="16" customHeight="1" x14ac:dyDescent="0.2"/>
    <row r="35" ht="16" customHeight="1" x14ac:dyDescent="0.2"/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DROPCLIENT">
              <controlPr defaultSize="0" autoLine="0" autoPict="0" macro="[0]!ThisWorkbook.ComboBoxChanged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DROPITEM">
              <controlPr defaultSize="0" autoLine="0" autoPict="0" macro="[0]!ThisWorkbook.ComboBoxChanged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MONTHDROP">
              <controlPr defaultSize="0" autoLine="0" autoPict="0" macro="[0]!ThisWorkbook.ComboBoxChanged">
                <anchor moveWithCells="1">
                  <from>
                    <xdr:col>7</xdr:col>
                    <xdr:colOff>800100</xdr:colOff>
                    <xdr:row>19</xdr:row>
                    <xdr:rowOff>0</xdr:rowOff>
                  </from>
                  <to>
                    <xdr:col>10</xdr:col>
                    <xdr:colOff>635000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DAYDROP">
              <controlPr defaultSize="0" autoLine="0" autoPict="0" macro="[0]!ThisWorkbook.ComboBoxChanged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711200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YEARDROP">
              <controlPr defaultSize="0" autoLine="0" autoPict="0" macro="[0]!ThisWorkbook.ComboBoxChanged">
                <anchor moveWithCells="1">
                  <from>
                    <xdr:col>13</xdr:col>
                    <xdr:colOff>63500</xdr:colOff>
                    <xdr:row>19</xdr:row>
                    <xdr:rowOff>0</xdr:rowOff>
                  </from>
                  <to>
                    <xdr:col>15</xdr:col>
                    <xdr:colOff>25400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1BDBB-ED89-C34F-8FA9-65EB1B05FBE3}">
  <sheetPr codeName="Sheet4"/>
  <dimension ref="A1:W20"/>
  <sheetViews>
    <sheetView showGridLines="0" zoomScale="85" zoomScaleNormal="100" workbookViewId="0"/>
  </sheetViews>
  <sheetFormatPr baseColWidth="10" defaultRowHeight="16" x14ac:dyDescent="0.2"/>
  <sheetData>
    <row r="1" spans="1:23" x14ac:dyDescent="0.2">
      <c r="A1" s="102"/>
    </row>
    <row r="2" spans="1:23" ht="17" thickBot="1" x14ac:dyDescent="0.25"/>
    <row r="3" spans="1:23" ht="16" customHeight="1" x14ac:dyDescent="0.2">
      <c r="B3" s="104"/>
      <c r="C3" s="191" t="s">
        <v>36</v>
      </c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05"/>
      <c r="T3" s="105"/>
      <c r="U3" s="106"/>
    </row>
    <row r="4" spans="1:23" ht="16" customHeight="1" x14ac:dyDescent="0.2">
      <c r="B4" s="107"/>
      <c r="C4" s="192"/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08"/>
      <c r="T4" s="108"/>
      <c r="U4" s="109"/>
    </row>
    <row r="5" spans="1:23" ht="16" customHeight="1" x14ac:dyDescent="0.2">
      <c r="B5" s="107"/>
      <c r="C5" s="192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08"/>
      <c r="T5" s="108"/>
      <c r="U5" s="109"/>
    </row>
    <row r="6" spans="1:23" ht="16" customHeight="1" x14ac:dyDescent="0.2">
      <c r="B6" s="107"/>
      <c r="C6" s="192"/>
      <c r="D6" s="192"/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08"/>
      <c r="T6" s="108"/>
      <c r="U6" s="109"/>
      <c r="W6" s="96"/>
    </row>
    <row r="7" spans="1:23" ht="16" customHeight="1" thickBot="1" x14ac:dyDescent="0.25">
      <c r="B7" s="110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11"/>
      <c r="T7" s="111"/>
      <c r="U7" s="112"/>
    </row>
    <row r="8" spans="1:23" ht="18" thickTop="1" thickBot="1" x14ac:dyDescent="0.25">
      <c r="B8" s="4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6"/>
    </row>
    <row r="9" spans="1:23" ht="17" thickBot="1" x14ac:dyDescent="0.25">
      <c r="B9" s="107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09"/>
    </row>
    <row r="10" spans="1:23" ht="16" customHeight="1" x14ac:dyDescent="0.2">
      <c r="B10" s="107"/>
      <c r="C10" s="194" t="s">
        <v>32</v>
      </c>
      <c r="D10" s="195"/>
      <c r="E10" s="194" t="s">
        <v>35</v>
      </c>
      <c r="F10" s="195"/>
      <c r="G10" s="198" t="s">
        <v>109</v>
      </c>
      <c r="H10" s="199"/>
      <c r="I10" s="195"/>
      <c r="J10" s="201" t="s">
        <v>37</v>
      </c>
      <c r="K10" s="194" t="s">
        <v>34</v>
      </c>
      <c r="L10" s="199"/>
      <c r="M10" s="199"/>
      <c r="N10" s="195"/>
      <c r="O10" s="194" t="s">
        <v>39</v>
      </c>
      <c r="P10" s="195"/>
      <c r="Q10" s="194" t="s">
        <v>38</v>
      </c>
      <c r="R10" s="195"/>
      <c r="S10" s="194" t="s">
        <v>96</v>
      </c>
      <c r="T10" s="195"/>
      <c r="U10" s="109"/>
    </row>
    <row r="11" spans="1:23" ht="37" customHeight="1" thickBot="1" x14ac:dyDescent="0.25">
      <c r="A11" s="40"/>
      <c r="B11" s="107"/>
      <c r="C11" s="196"/>
      <c r="D11" s="197"/>
      <c r="E11" s="196"/>
      <c r="F11" s="197"/>
      <c r="G11" s="196"/>
      <c r="H11" s="200"/>
      <c r="I11" s="197"/>
      <c r="J11" s="202"/>
      <c r="K11" s="196"/>
      <c r="L11" s="200"/>
      <c r="M11" s="200"/>
      <c r="N11" s="197"/>
      <c r="O11" s="196"/>
      <c r="P11" s="197"/>
      <c r="Q11" s="196"/>
      <c r="R11" s="197"/>
      <c r="S11" s="196"/>
      <c r="T11" s="197"/>
      <c r="U11" s="109"/>
    </row>
    <row r="12" spans="1:23" ht="18" x14ac:dyDescent="0.2">
      <c r="B12" s="107"/>
      <c r="C12" s="226">
        <v>111</v>
      </c>
      <c r="D12" s="227"/>
      <c r="E12" s="215">
        <v>45894</v>
      </c>
      <c r="F12" s="213"/>
      <c r="G12" s="216" t="s">
        <v>71</v>
      </c>
      <c r="H12" s="217"/>
      <c r="I12" s="218"/>
      <c r="J12" s="115">
        <v>1</v>
      </c>
      <c r="K12" s="211" t="s">
        <v>51</v>
      </c>
      <c r="L12" s="212"/>
      <c r="M12" s="212"/>
      <c r="N12" s="213"/>
      <c r="O12" s="211">
        <v>1</v>
      </c>
      <c r="P12" s="213"/>
      <c r="Q12" s="214">
        <v>80</v>
      </c>
      <c r="R12" s="207"/>
      <c r="S12" s="206">
        <v>40</v>
      </c>
      <c r="T12" s="207"/>
      <c r="U12" s="109"/>
    </row>
    <row r="13" spans="1:23" ht="18" x14ac:dyDescent="0.2">
      <c r="B13" s="107"/>
      <c r="C13" s="219">
        <v>112</v>
      </c>
      <c r="D13" s="220"/>
      <c r="E13" s="221">
        <v>45894</v>
      </c>
      <c r="F13" s="222"/>
      <c r="G13" s="223" t="s">
        <v>72</v>
      </c>
      <c r="H13" s="224"/>
      <c r="I13" s="225"/>
      <c r="J13" s="116">
        <v>2</v>
      </c>
      <c r="K13" s="203" t="s">
        <v>51</v>
      </c>
      <c r="L13" s="204"/>
      <c r="M13" s="204"/>
      <c r="N13" s="205"/>
      <c r="O13" s="203">
        <v>1</v>
      </c>
      <c r="P13" s="205"/>
      <c r="Q13" s="210">
        <v>80</v>
      </c>
      <c r="R13" s="209"/>
      <c r="S13" s="208">
        <v>40</v>
      </c>
      <c r="T13" s="209"/>
      <c r="U13" s="109"/>
    </row>
    <row r="14" spans="1:23" ht="18" x14ac:dyDescent="0.2">
      <c r="B14" s="107"/>
      <c r="C14" s="219">
        <v>113</v>
      </c>
      <c r="D14" s="220"/>
      <c r="E14" s="221">
        <v>45895</v>
      </c>
      <c r="F14" s="222"/>
      <c r="G14" s="223" t="s">
        <v>73</v>
      </c>
      <c r="H14" s="224"/>
      <c r="I14" s="225"/>
      <c r="J14" s="116">
        <v>3</v>
      </c>
      <c r="K14" s="203" t="s">
        <v>51</v>
      </c>
      <c r="L14" s="204"/>
      <c r="M14" s="204"/>
      <c r="N14" s="205"/>
      <c r="O14" s="203">
        <v>1</v>
      </c>
      <c r="P14" s="205"/>
      <c r="Q14" s="210">
        <v>80</v>
      </c>
      <c r="R14" s="209"/>
      <c r="S14" s="208">
        <v>40</v>
      </c>
      <c r="T14" s="209"/>
      <c r="U14" s="109"/>
    </row>
    <row r="15" spans="1:23" x14ac:dyDescent="0.2">
      <c r="B15" s="107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09"/>
    </row>
    <row r="16" spans="1:23" ht="17" thickBot="1" x14ac:dyDescent="0.25">
      <c r="B16" s="110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2"/>
    </row>
    <row r="17" spans="2:21" ht="18" thickTop="1" thickBot="1" x14ac:dyDescent="0.25">
      <c r="B17" s="4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6"/>
    </row>
    <row r="20" spans="2:21" x14ac:dyDescent="0.2">
      <c r="D20" s="103"/>
    </row>
  </sheetData>
  <sheetProtection sheet="1" objects="1" scenarios="1" selectLockedCells="1"/>
  <mergeCells count="30">
    <mergeCell ref="E12:F12"/>
    <mergeCell ref="G12:I12"/>
    <mergeCell ref="C14:D14"/>
    <mergeCell ref="E14:F14"/>
    <mergeCell ref="G14:I14"/>
    <mergeCell ref="E13:F13"/>
    <mergeCell ref="G13:I13"/>
    <mergeCell ref="C12:D12"/>
    <mergeCell ref="C13:D13"/>
    <mergeCell ref="K14:N14"/>
    <mergeCell ref="S10:T11"/>
    <mergeCell ref="S12:T12"/>
    <mergeCell ref="S13:T13"/>
    <mergeCell ref="S14:T14"/>
    <mergeCell ref="Q13:R13"/>
    <mergeCell ref="K12:N12"/>
    <mergeCell ref="O12:P12"/>
    <mergeCell ref="O14:P14"/>
    <mergeCell ref="K13:N13"/>
    <mergeCell ref="O13:P13"/>
    <mergeCell ref="Q14:R14"/>
    <mergeCell ref="Q12:R12"/>
    <mergeCell ref="C3:R7"/>
    <mergeCell ref="C10:D11"/>
    <mergeCell ref="G10:I11"/>
    <mergeCell ref="J10:J11"/>
    <mergeCell ref="K10:N11"/>
    <mergeCell ref="Q10:R11"/>
    <mergeCell ref="E10:F11"/>
    <mergeCell ref="O10:P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967EE-06CA-8E45-B3C8-A1DA06554448}">
  <sheetPr codeName="Sheet2"/>
  <dimension ref="B1:AA37"/>
  <sheetViews>
    <sheetView showGridLines="0" tabSelected="1" zoomScale="63" zoomScaleNormal="75" workbookViewId="0">
      <selection activeCell="AB6" sqref="AB6"/>
    </sheetView>
  </sheetViews>
  <sheetFormatPr baseColWidth="10" defaultRowHeight="16" x14ac:dyDescent="0.2"/>
  <cols>
    <col min="3" max="3" width="8.33203125" customWidth="1"/>
    <col min="4" max="4" width="18.33203125" customWidth="1"/>
    <col min="5" max="5" width="8.33203125" customWidth="1"/>
    <col min="8" max="8" width="8.33203125" customWidth="1"/>
    <col min="9" max="9" width="18.33203125" customWidth="1"/>
    <col min="10" max="10" width="8.33203125" customWidth="1"/>
    <col min="13" max="13" width="8.33203125" customWidth="1"/>
    <col min="14" max="14" width="18.33203125" customWidth="1"/>
    <col min="15" max="15" width="8.33203125" customWidth="1"/>
    <col min="18" max="18" width="8.33203125" customWidth="1"/>
    <col min="19" max="19" width="18.33203125" customWidth="1"/>
    <col min="20" max="20" width="8.33203125" customWidth="1"/>
    <col min="23" max="23" width="8.33203125" customWidth="1"/>
    <col min="24" max="24" width="18.33203125" customWidth="1"/>
    <col min="25" max="25" width="8.33203125" customWidth="1"/>
  </cols>
  <sheetData>
    <row r="1" spans="2:27" ht="17" thickBot="1" x14ac:dyDescent="0.25"/>
    <row r="2" spans="2:27" x14ac:dyDescent="0.2">
      <c r="B2" s="230" t="s">
        <v>57</v>
      </c>
      <c r="C2" s="231"/>
      <c r="D2" s="231"/>
      <c r="E2" s="231"/>
      <c r="F2" s="231"/>
      <c r="G2" s="231"/>
      <c r="H2" s="231"/>
      <c r="I2" s="231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06"/>
    </row>
    <row r="3" spans="2:27" x14ac:dyDescent="0.2">
      <c r="B3" s="232"/>
      <c r="C3" s="233"/>
      <c r="D3" s="233"/>
      <c r="E3" s="233"/>
      <c r="F3" s="233"/>
      <c r="G3" s="233"/>
      <c r="H3" s="233"/>
      <c r="I3" s="23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09"/>
    </row>
    <row r="4" spans="2:27" x14ac:dyDescent="0.2">
      <c r="B4" s="232"/>
      <c r="C4" s="233"/>
      <c r="D4" s="233"/>
      <c r="E4" s="233"/>
      <c r="F4" s="233"/>
      <c r="G4" s="233"/>
      <c r="H4" s="233"/>
      <c r="I4" s="23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09"/>
    </row>
    <row r="5" spans="2:27" x14ac:dyDescent="0.2">
      <c r="B5" s="232"/>
      <c r="C5" s="233"/>
      <c r="D5" s="233"/>
      <c r="E5" s="233"/>
      <c r="F5" s="233"/>
      <c r="G5" s="233"/>
      <c r="H5" s="233"/>
      <c r="I5" s="23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09"/>
    </row>
    <row r="6" spans="2:27" ht="17" thickBot="1" x14ac:dyDescent="0.25">
      <c r="B6" s="234"/>
      <c r="C6" s="235"/>
      <c r="D6" s="235"/>
      <c r="E6" s="235"/>
      <c r="F6" s="235"/>
      <c r="G6" s="235"/>
      <c r="H6" s="235"/>
      <c r="I6" s="235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2"/>
    </row>
    <row r="7" spans="2:27" ht="18" thickTop="1" thickBot="1" x14ac:dyDescent="0.25">
      <c r="B7" s="4"/>
      <c r="C7" s="3"/>
      <c r="D7" s="3"/>
      <c r="E7" s="3"/>
      <c r="F7" s="3"/>
      <c r="G7" s="10"/>
      <c r="H7" s="3"/>
      <c r="I7" s="3"/>
      <c r="J7" s="3"/>
      <c r="K7" s="3"/>
      <c r="L7" s="10"/>
      <c r="M7" s="3"/>
      <c r="N7" s="3"/>
      <c r="O7" s="3"/>
      <c r="P7" s="3"/>
      <c r="Q7" s="10"/>
      <c r="R7" s="3"/>
      <c r="S7" s="3"/>
      <c r="T7" s="3"/>
      <c r="U7" s="3"/>
      <c r="V7" s="10"/>
      <c r="W7" s="3"/>
      <c r="X7" s="3"/>
      <c r="Y7" s="3"/>
      <c r="Z7" s="3"/>
      <c r="AA7" s="6"/>
    </row>
    <row r="8" spans="2:27" ht="30" thickBot="1" x14ac:dyDescent="0.25">
      <c r="B8" s="118"/>
      <c r="C8" s="239" t="str">
        <f ca="1">TEXT(C9,"DDD")</f>
        <v>Mon</v>
      </c>
      <c r="D8" s="240"/>
      <c r="E8" s="240"/>
      <c r="F8" s="241"/>
      <c r="G8" s="120"/>
      <c r="H8" s="239" t="str">
        <f ca="1">TEXT(H9,"DDD")</f>
        <v>Tue</v>
      </c>
      <c r="I8" s="240"/>
      <c r="J8" s="240"/>
      <c r="K8" s="241"/>
      <c r="L8" s="120"/>
      <c r="M8" s="239" t="str">
        <f ca="1">TEXT(M9,"DDD")</f>
        <v>Wed</v>
      </c>
      <c r="N8" s="240"/>
      <c r="O8" s="240"/>
      <c r="P8" s="241"/>
      <c r="Q8" s="120"/>
      <c r="R8" s="239" t="str">
        <f ca="1">TEXT(R9,"DDD")</f>
        <v>Thu</v>
      </c>
      <c r="S8" s="240"/>
      <c r="T8" s="240"/>
      <c r="U8" s="241"/>
      <c r="V8" s="120"/>
      <c r="W8" s="239" t="str">
        <f ca="1">TEXT(W9,"DDD")</f>
        <v>Fri</v>
      </c>
      <c r="X8" s="240"/>
      <c r="Y8" s="240"/>
      <c r="Z8" s="241"/>
      <c r="AA8" s="145"/>
    </row>
    <row r="9" spans="2:27" ht="25" thickBot="1" x14ac:dyDescent="0.25">
      <c r="B9" s="119"/>
      <c r="C9" s="243">
        <v>45894</v>
      </c>
      <c r="D9" s="237"/>
      <c r="E9" s="237"/>
      <c r="F9" s="238"/>
      <c r="G9" s="21"/>
      <c r="H9" s="236">
        <v>45895</v>
      </c>
      <c r="I9" s="237"/>
      <c r="J9" s="237"/>
      <c r="K9" s="238"/>
      <c r="L9" s="21"/>
      <c r="M9" s="236">
        <v>45896</v>
      </c>
      <c r="N9" s="237"/>
      <c r="O9" s="237"/>
      <c r="P9" s="238"/>
      <c r="Q9" s="21"/>
      <c r="R9" s="236">
        <v>45897</v>
      </c>
      <c r="S9" s="237"/>
      <c r="T9" s="237"/>
      <c r="U9" s="238"/>
      <c r="V9" s="21"/>
      <c r="W9" s="236">
        <v>45898</v>
      </c>
      <c r="X9" s="237"/>
      <c r="Y9" s="237"/>
      <c r="Z9" s="242"/>
      <c r="AA9" s="146"/>
    </row>
    <row r="10" spans="2:27" ht="18" thickTop="1" thickBot="1" x14ac:dyDescent="0.25">
      <c r="B10" s="4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6"/>
    </row>
    <row r="11" spans="2:27" ht="17" thickBot="1" x14ac:dyDescent="0.25">
      <c r="B11" s="121"/>
      <c r="C11" s="124" t="s">
        <v>30</v>
      </c>
      <c r="D11" s="124" t="s">
        <v>28</v>
      </c>
      <c r="E11" s="124" t="s">
        <v>29</v>
      </c>
      <c r="F11" s="124" t="s">
        <v>31</v>
      </c>
      <c r="G11" s="18"/>
      <c r="H11" s="124" t="s">
        <v>30</v>
      </c>
      <c r="I11" s="124" t="s">
        <v>28</v>
      </c>
      <c r="J11" s="124" t="s">
        <v>29</v>
      </c>
      <c r="K11" s="124" t="s">
        <v>31</v>
      </c>
      <c r="L11" s="18"/>
      <c r="M11" s="124" t="s">
        <v>30</v>
      </c>
      <c r="N11" s="124" t="s">
        <v>28</v>
      </c>
      <c r="O11" s="124" t="s">
        <v>29</v>
      </c>
      <c r="P11" s="124" t="s">
        <v>31</v>
      </c>
      <c r="Q11" s="18"/>
      <c r="R11" s="124" t="s">
        <v>30</v>
      </c>
      <c r="S11" s="124" t="s">
        <v>28</v>
      </c>
      <c r="T11" s="124" t="s">
        <v>29</v>
      </c>
      <c r="U11" s="124" t="s">
        <v>31</v>
      </c>
      <c r="V11" s="18"/>
      <c r="W11" s="124" t="s">
        <v>30</v>
      </c>
      <c r="X11" s="124" t="s">
        <v>28</v>
      </c>
      <c r="Y11" s="124" t="s">
        <v>29</v>
      </c>
      <c r="Z11" s="124" t="s">
        <v>31</v>
      </c>
      <c r="AA11" s="125"/>
    </row>
    <row r="12" spans="2:27" x14ac:dyDescent="0.2">
      <c r="B12" s="122"/>
      <c r="C12" s="132" cm="1">
        <f t="array" aca="1" ref="C12:C13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Tracker'!C9),0,1),"")</f>
        <v>111</v>
      </c>
      <c r="D12" s="133" t="str" cm="1">
        <f t="array" aca="1" ref="D12:D13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Tracker'!C9),0,5),"")</f>
        <v>Client 1</v>
      </c>
      <c r="E12" s="134" t="str" cm="1">
        <f t="array" aca="1" ref="E12:E13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Tracker'!C9),0,9),"")</f>
        <v>WRENCH</v>
      </c>
      <c r="F12" s="135" cm="1">
        <f t="array" aca="1" ref="F12:F13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Tracker'!C9),0,15),"")</f>
        <v>80</v>
      </c>
      <c r="G12" s="19"/>
      <c r="H12" s="132" cm="1">
        <f t="array" aca="1" ref="H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Tracker'!H9),0,1),"")</f>
        <v>113</v>
      </c>
      <c r="I12" s="133" t="str" cm="1">
        <f t="array" aca="1" ref="I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Tracker'!H9),0,5),"")</f>
        <v>Client 3</v>
      </c>
      <c r="J12" s="134" t="str" cm="1">
        <f t="array" aca="1" ref="J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Tracker'!H9),0,9),"")</f>
        <v>WRENCH</v>
      </c>
      <c r="K12" s="135" cm="1">
        <f t="array" aca="1" ref="K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Tracker'!H9),0,15),"")</f>
        <v>80</v>
      </c>
      <c r="L12" s="19"/>
      <c r="M12" s="132" t="str" cm="1">
        <f t="array" aca="1" ref="M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Tracker'!M9),0,1),"")</f>
        <v/>
      </c>
      <c r="N12" s="133" t="str" cm="1">
        <f t="array" aca="1" ref="N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Tracker'!M9),0,5),"")</f>
        <v/>
      </c>
      <c r="O12" s="134" t="str" cm="1">
        <f t="array" aca="1" ref="O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Tracker'!M9),0,9),"")</f>
        <v/>
      </c>
      <c r="P12" s="135" t="str" cm="1">
        <f t="array" aca="1" ref="P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Tracker'!M9),0,15),"")</f>
        <v/>
      </c>
      <c r="Q12" s="19"/>
      <c r="R12" s="132" t="str" cm="1">
        <f t="array" aca="1" ref="R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Tracker'!R9),0,1),"")</f>
        <v/>
      </c>
      <c r="S12" s="133" t="str" cm="1">
        <f t="array" aca="1" ref="S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Tracker'!R9),0,5),"")</f>
        <v/>
      </c>
      <c r="T12" s="134" t="str" cm="1">
        <f t="array" aca="1" ref="T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Tracker'!R9),0,9),"")</f>
        <v/>
      </c>
      <c r="U12" s="135" t="str" cm="1">
        <f t="array" aca="1" ref="U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Tracker'!R9),0,15),"")</f>
        <v/>
      </c>
      <c r="V12" s="19"/>
      <c r="W12" s="132" t="str" cm="1">
        <f t="array" aca="1" ref="W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Tracker'!W9),0,1),"")</f>
        <v/>
      </c>
      <c r="X12" s="137" t="str" cm="1">
        <f t="array" aca="1" ref="X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Tracker'!W9),0,5),"")</f>
        <v/>
      </c>
      <c r="Y12" s="138" t="str" cm="1">
        <f t="array" aca="1" ref="Y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Tracker'!W9),0,9),"")</f>
        <v/>
      </c>
      <c r="Z12" s="139" t="str" cm="1">
        <f t="array" aca="1" ref="Z12" ca="1">IFERROR(INDEX(_xlfn._xlws.FILTER(INDIRECT(_xlfn.CONCAT("'Order Tracker'!C12:R",MAX(IF(ISNUMBER('Order Tracker'!$C:$C),ROW('Order Tracker'!$C:$C))))),INDIRECT(_xlfn.CONCAT("'Order Tracker'!E12:E",MAX(IF(ISNUMBER('Order Tracker'!$C:$C),ROW('Order Tracker'!$C:$C)))))='Daily Sales Tracker'!W9),0,15),"")</f>
        <v/>
      </c>
      <c r="AA12" s="126"/>
    </row>
    <row r="13" spans="2:27" x14ac:dyDescent="0.2">
      <c r="B13" s="122"/>
      <c r="C13" s="136">
        <f ca="1"/>
        <v>112</v>
      </c>
      <c r="D13" s="133" t="str">
        <f ca="1"/>
        <v>Client 2</v>
      </c>
      <c r="E13" s="134" t="str">
        <f ca="1"/>
        <v>WRENCH</v>
      </c>
      <c r="F13" s="135">
        <f ca="1"/>
        <v>80</v>
      </c>
      <c r="G13" s="20"/>
      <c r="H13" s="136"/>
      <c r="I13" s="133"/>
      <c r="J13" s="134"/>
      <c r="K13" s="135"/>
      <c r="L13" s="20"/>
      <c r="M13" s="136"/>
      <c r="N13" s="133"/>
      <c r="O13" s="134"/>
      <c r="P13" s="135"/>
      <c r="Q13" s="20"/>
      <c r="R13" s="136"/>
      <c r="S13" s="133"/>
      <c r="T13" s="134"/>
      <c r="U13" s="135"/>
      <c r="V13" s="20"/>
      <c r="W13" s="136"/>
      <c r="X13" s="133"/>
      <c r="Y13" s="134"/>
      <c r="Z13" s="140"/>
      <c r="AA13" s="126"/>
    </row>
    <row r="14" spans="2:27" x14ac:dyDescent="0.2">
      <c r="B14" s="122"/>
      <c r="C14" s="136"/>
      <c r="D14" s="133"/>
      <c r="E14" s="134"/>
      <c r="F14" s="135"/>
      <c r="G14" s="20"/>
      <c r="H14" s="136"/>
      <c r="I14" s="133"/>
      <c r="J14" s="134"/>
      <c r="K14" s="135"/>
      <c r="L14" s="20"/>
      <c r="M14" s="136"/>
      <c r="N14" s="133"/>
      <c r="O14" s="134"/>
      <c r="P14" s="135"/>
      <c r="Q14" s="20"/>
      <c r="R14" s="136"/>
      <c r="S14" s="133"/>
      <c r="T14" s="134"/>
      <c r="U14" s="135"/>
      <c r="V14" s="20"/>
      <c r="W14" s="136"/>
      <c r="X14" s="133"/>
      <c r="Y14" s="134"/>
      <c r="Z14" s="140"/>
      <c r="AA14" s="126"/>
    </row>
    <row r="15" spans="2:27" x14ac:dyDescent="0.2">
      <c r="B15" s="122"/>
      <c r="C15" s="136"/>
      <c r="D15" s="133"/>
      <c r="E15" s="134"/>
      <c r="F15" s="135"/>
      <c r="G15" s="20"/>
      <c r="H15" s="136"/>
      <c r="I15" s="133"/>
      <c r="J15" s="134"/>
      <c r="K15" s="135"/>
      <c r="L15" s="20"/>
      <c r="M15" s="136"/>
      <c r="N15" s="133"/>
      <c r="O15" s="134"/>
      <c r="P15" s="135"/>
      <c r="Q15" s="20"/>
      <c r="R15" s="136"/>
      <c r="S15" s="133"/>
      <c r="T15" s="134"/>
      <c r="U15" s="135"/>
      <c r="V15" s="20"/>
      <c r="W15" s="136"/>
      <c r="X15" s="133"/>
      <c r="Y15" s="134"/>
      <c r="Z15" s="140"/>
      <c r="AA15" s="126"/>
    </row>
    <row r="16" spans="2:27" x14ac:dyDescent="0.2">
      <c r="B16" s="122"/>
      <c r="C16" s="136"/>
      <c r="D16" s="133"/>
      <c r="E16" s="134"/>
      <c r="F16" s="135"/>
      <c r="G16" s="20"/>
      <c r="H16" s="136"/>
      <c r="I16" s="133"/>
      <c r="J16" s="134"/>
      <c r="K16" s="135"/>
      <c r="L16" s="20"/>
      <c r="M16" s="136"/>
      <c r="N16" s="133"/>
      <c r="O16" s="134"/>
      <c r="P16" s="135"/>
      <c r="Q16" s="20"/>
      <c r="R16" s="136"/>
      <c r="S16" s="133"/>
      <c r="T16" s="134"/>
      <c r="U16" s="135"/>
      <c r="V16" s="20"/>
      <c r="W16" s="136"/>
      <c r="X16" s="133"/>
      <c r="Y16" s="134"/>
      <c r="Z16" s="140"/>
      <c r="AA16" s="126"/>
    </row>
    <row r="17" spans="2:27" x14ac:dyDescent="0.2">
      <c r="B17" s="122"/>
      <c r="C17" s="136"/>
      <c r="D17" s="133"/>
      <c r="E17" s="134"/>
      <c r="F17" s="135"/>
      <c r="G17" s="20"/>
      <c r="H17" s="136"/>
      <c r="I17" s="133"/>
      <c r="J17" s="134"/>
      <c r="K17" s="135"/>
      <c r="L17" s="20"/>
      <c r="M17" s="136"/>
      <c r="N17" s="133"/>
      <c r="O17" s="134"/>
      <c r="P17" s="135"/>
      <c r="Q17" s="20"/>
      <c r="R17" s="136"/>
      <c r="S17" s="133"/>
      <c r="T17" s="134"/>
      <c r="U17" s="135"/>
      <c r="V17" s="20"/>
      <c r="W17" s="136"/>
      <c r="X17" s="133"/>
      <c r="Y17" s="134"/>
      <c r="Z17" s="140"/>
      <c r="AA17" s="126"/>
    </row>
    <row r="18" spans="2:27" x14ac:dyDescent="0.2">
      <c r="B18" s="122"/>
      <c r="C18" s="136"/>
      <c r="D18" s="133"/>
      <c r="E18" s="134"/>
      <c r="F18" s="135"/>
      <c r="G18" s="20"/>
      <c r="H18" s="136"/>
      <c r="I18" s="133"/>
      <c r="J18" s="134"/>
      <c r="K18" s="135"/>
      <c r="L18" s="20"/>
      <c r="M18" s="136"/>
      <c r="N18" s="133"/>
      <c r="O18" s="134"/>
      <c r="P18" s="135"/>
      <c r="Q18" s="20"/>
      <c r="R18" s="136"/>
      <c r="S18" s="133"/>
      <c r="T18" s="134"/>
      <c r="U18" s="135"/>
      <c r="V18" s="20"/>
      <c r="W18" s="136"/>
      <c r="X18" s="133"/>
      <c r="Y18" s="134"/>
      <c r="Z18" s="140"/>
      <c r="AA18" s="126"/>
    </row>
    <row r="19" spans="2:27" x14ac:dyDescent="0.2">
      <c r="B19" s="122"/>
      <c r="C19" s="136"/>
      <c r="D19" s="133"/>
      <c r="E19" s="134"/>
      <c r="F19" s="135"/>
      <c r="G19" s="20"/>
      <c r="H19" s="136"/>
      <c r="I19" s="133"/>
      <c r="J19" s="134"/>
      <c r="K19" s="135"/>
      <c r="L19" s="20"/>
      <c r="M19" s="136"/>
      <c r="N19" s="133"/>
      <c r="O19" s="134"/>
      <c r="P19" s="135"/>
      <c r="Q19" s="20"/>
      <c r="R19" s="136"/>
      <c r="S19" s="133"/>
      <c r="T19" s="134"/>
      <c r="U19" s="135"/>
      <c r="V19" s="20"/>
      <c r="W19" s="136"/>
      <c r="X19" s="133"/>
      <c r="Y19" s="134"/>
      <c r="Z19" s="140"/>
      <c r="AA19" s="126"/>
    </row>
    <row r="20" spans="2:27" x14ac:dyDescent="0.2">
      <c r="B20" s="122"/>
      <c r="C20" s="136"/>
      <c r="D20" s="133"/>
      <c r="E20" s="134"/>
      <c r="F20" s="135"/>
      <c r="G20" s="20"/>
      <c r="H20" s="136"/>
      <c r="I20" s="133"/>
      <c r="J20" s="134"/>
      <c r="K20" s="135"/>
      <c r="L20" s="20"/>
      <c r="M20" s="136"/>
      <c r="N20" s="133"/>
      <c r="O20" s="134"/>
      <c r="P20" s="135"/>
      <c r="Q20" s="20"/>
      <c r="R20" s="136"/>
      <c r="S20" s="133"/>
      <c r="T20" s="134"/>
      <c r="U20" s="135"/>
      <c r="V20" s="20"/>
      <c r="W20" s="136"/>
      <c r="X20" s="133"/>
      <c r="Y20" s="134"/>
      <c r="Z20" s="140"/>
      <c r="AA20" s="126"/>
    </row>
    <row r="21" spans="2:27" x14ac:dyDescent="0.2">
      <c r="B21" s="122"/>
      <c r="C21" s="136"/>
      <c r="D21" s="133"/>
      <c r="E21" s="134"/>
      <c r="F21" s="135"/>
      <c r="G21" s="20"/>
      <c r="H21" s="136"/>
      <c r="I21" s="133"/>
      <c r="J21" s="134"/>
      <c r="K21" s="135"/>
      <c r="L21" s="20"/>
      <c r="M21" s="136"/>
      <c r="N21" s="133"/>
      <c r="O21" s="134"/>
      <c r="P21" s="135"/>
      <c r="Q21" s="20"/>
      <c r="R21" s="136"/>
      <c r="S21" s="133"/>
      <c r="T21" s="134"/>
      <c r="U21" s="135"/>
      <c r="V21" s="20"/>
      <c r="W21" s="136"/>
      <c r="X21" s="133"/>
      <c r="Y21" s="134"/>
      <c r="Z21" s="140"/>
      <c r="AA21" s="126"/>
    </row>
    <row r="22" spans="2:27" x14ac:dyDescent="0.2">
      <c r="B22" s="122"/>
      <c r="C22" s="136"/>
      <c r="D22" s="133"/>
      <c r="E22" s="134"/>
      <c r="F22" s="135"/>
      <c r="G22" s="20"/>
      <c r="H22" s="136"/>
      <c r="I22" s="133"/>
      <c r="J22" s="134"/>
      <c r="K22" s="135"/>
      <c r="L22" s="20"/>
      <c r="M22" s="136"/>
      <c r="N22" s="133"/>
      <c r="O22" s="134"/>
      <c r="P22" s="135"/>
      <c r="Q22" s="20"/>
      <c r="R22" s="136"/>
      <c r="S22" s="133"/>
      <c r="T22" s="134"/>
      <c r="U22" s="135"/>
      <c r="V22" s="20"/>
      <c r="W22" s="136"/>
      <c r="X22" s="133"/>
      <c r="Y22" s="134"/>
      <c r="Z22" s="140"/>
      <c r="AA22" s="126"/>
    </row>
    <row r="23" spans="2:27" x14ac:dyDescent="0.2">
      <c r="B23" s="122"/>
      <c r="C23" s="136"/>
      <c r="D23" s="133"/>
      <c r="E23" s="134"/>
      <c r="F23" s="135"/>
      <c r="G23" s="20"/>
      <c r="H23" s="136"/>
      <c r="I23" s="133"/>
      <c r="J23" s="134"/>
      <c r="K23" s="135"/>
      <c r="L23" s="20"/>
      <c r="M23" s="136"/>
      <c r="N23" s="133"/>
      <c r="O23" s="134"/>
      <c r="P23" s="135"/>
      <c r="Q23" s="20"/>
      <c r="R23" s="136"/>
      <c r="S23" s="133"/>
      <c r="T23" s="134"/>
      <c r="U23" s="135"/>
      <c r="V23" s="20"/>
      <c r="W23" s="136"/>
      <c r="X23" s="133"/>
      <c r="Y23" s="134"/>
      <c r="Z23" s="140"/>
      <c r="AA23" s="126"/>
    </row>
    <row r="24" spans="2:27" x14ac:dyDescent="0.2">
      <c r="B24" s="122"/>
      <c r="C24" s="136"/>
      <c r="D24" s="133"/>
      <c r="E24" s="134"/>
      <c r="F24" s="135"/>
      <c r="G24" s="20"/>
      <c r="H24" s="136"/>
      <c r="I24" s="133"/>
      <c r="J24" s="134"/>
      <c r="K24" s="135"/>
      <c r="L24" s="20"/>
      <c r="M24" s="136"/>
      <c r="N24" s="133"/>
      <c r="O24" s="134"/>
      <c r="P24" s="135"/>
      <c r="Q24" s="20"/>
      <c r="R24" s="136"/>
      <c r="S24" s="133"/>
      <c r="T24" s="134"/>
      <c r="U24" s="135"/>
      <c r="V24" s="20"/>
      <c r="W24" s="136"/>
      <c r="X24" s="133"/>
      <c r="Y24" s="134"/>
      <c r="Z24" s="140"/>
      <c r="AA24" s="126"/>
    </row>
    <row r="25" spans="2:27" x14ac:dyDescent="0.2">
      <c r="B25" s="122"/>
      <c r="C25" s="136"/>
      <c r="D25" s="133"/>
      <c r="E25" s="134"/>
      <c r="F25" s="135"/>
      <c r="G25" s="20"/>
      <c r="H25" s="136"/>
      <c r="I25" s="133"/>
      <c r="J25" s="134"/>
      <c r="K25" s="135"/>
      <c r="L25" s="20"/>
      <c r="M25" s="136"/>
      <c r="N25" s="133"/>
      <c r="O25" s="134"/>
      <c r="P25" s="135"/>
      <c r="Q25" s="20"/>
      <c r="R25" s="136"/>
      <c r="S25" s="133"/>
      <c r="T25" s="134"/>
      <c r="U25" s="135"/>
      <c r="V25" s="20"/>
      <c r="W25" s="136"/>
      <c r="X25" s="133"/>
      <c r="Y25" s="134"/>
      <c r="Z25" s="140"/>
      <c r="AA25" s="126"/>
    </row>
    <row r="26" spans="2:27" x14ac:dyDescent="0.2">
      <c r="B26" s="122"/>
      <c r="C26" s="136"/>
      <c r="D26" s="133"/>
      <c r="E26" s="134"/>
      <c r="F26" s="135"/>
      <c r="G26" s="20"/>
      <c r="H26" s="136"/>
      <c r="I26" s="133"/>
      <c r="J26" s="134"/>
      <c r="K26" s="135"/>
      <c r="L26" s="20"/>
      <c r="M26" s="136"/>
      <c r="N26" s="133"/>
      <c r="O26" s="134"/>
      <c r="P26" s="135"/>
      <c r="Q26" s="20"/>
      <c r="R26" s="136"/>
      <c r="S26" s="133"/>
      <c r="T26" s="134"/>
      <c r="U26" s="135"/>
      <c r="V26" s="20"/>
      <c r="W26" s="136"/>
      <c r="X26" s="133"/>
      <c r="Y26" s="134"/>
      <c r="Z26" s="140"/>
      <c r="AA26" s="126"/>
    </row>
    <row r="27" spans="2:27" x14ac:dyDescent="0.2">
      <c r="B27" s="122"/>
      <c r="C27" s="136"/>
      <c r="D27" s="133"/>
      <c r="E27" s="134"/>
      <c r="F27" s="135"/>
      <c r="G27" s="20"/>
      <c r="H27" s="136"/>
      <c r="I27" s="133"/>
      <c r="J27" s="134"/>
      <c r="K27" s="135"/>
      <c r="L27" s="20"/>
      <c r="M27" s="136"/>
      <c r="N27" s="133"/>
      <c r="O27" s="134"/>
      <c r="P27" s="135"/>
      <c r="Q27" s="20"/>
      <c r="R27" s="136"/>
      <c r="S27" s="133"/>
      <c r="T27" s="134"/>
      <c r="U27" s="135"/>
      <c r="V27" s="20"/>
      <c r="W27" s="136"/>
      <c r="X27" s="133"/>
      <c r="Y27" s="134"/>
      <c r="Z27" s="140"/>
      <c r="AA27" s="126"/>
    </row>
    <row r="28" spans="2:27" x14ac:dyDescent="0.2">
      <c r="B28" s="122"/>
      <c r="C28" s="136"/>
      <c r="D28" s="133"/>
      <c r="E28" s="134"/>
      <c r="F28" s="135"/>
      <c r="G28" s="20"/>
      <c r="H28" s="136"/>
      <c r="I28" s="133"/>
      <c r="J28" s="134"/>
      <c r="K28" s="135"/>
      <c r="L28" s="20"/>
      <c r="M28" s="136"/>
      <c r="N28" s="133"/>
      <c r="O28" s="134"/>
      <c r="P28" s="135"/>
      <c r="Q28" s="20"/>
      <c r="R28" s="136"/>
      <c r="S28" s="133"/>
      <c r="T28" s="134"/>
      <c r="U28" s="135"/>
      <c r="V28" s="20"/>
      <c r="W28" s="136"/>
      <c r="X28" s="133"/>
      <c r="Y28" s="134"/>
      <c r="Z28" s="140"/>
      <c r="AA28" s="126"/>
    </row>
    <row r="29" spans="2:27" x14ac:dyDescent="0.2">
      <c r="B29" s="122"/>
      <c r="C29" s="136"/>
      <c r="D29" s="133"/>
      <c r="E29" s="134"/>
      <c r="F29" s="135"/>
      <c r="G29" s="20"/>
      <c r="H29" s="136"/>
      <c r="I29" s="133"/>
      <c r="J29" s="134"/>
      <c r="K29" s="135"/>
      <c r="L29" s="20"/>
      <c r="M29" s="136"/>
      <c r="N29" s="133"/>
      <c r="O29" s="134"/>
      <c r="P29" s="135"/>
      <c r="Q29" s="20"/>
      <c r="R29" s="136"/>
      <c r="S29" s="133"/>
      <c r="T29" s="134"/>
      <c r="U29" s="135"/>
      <c r="V29" s="20"/>
      <c r="W29" s="136"/>
      <c r="X29" s="133"/>
      <c r="Y29" s="134"/>
      <c r="Z29" s="140"/>
      <c r="AA29" s="126"/>
    </row>
    <row r="30" spans="2:27" x14ac:dyDescent="0.2">
      <c r="B30" s="122"/>
      <c r="C30" s="136"/>
      <c r="D30" s="133"/>
      <c r="E30" s="134"/>
      <c r="F30" s="135"/>
      <c r="G30" s="20"/>
      <c r="H30" s="136"/>
      <c r="I30" s="133"/>
      <c r="J30" s="134"/>
      <c r="K30" s="135"/>
      <c r="L30" s="20"/>
      <c r="M30" s="136"/>
      <c r="N30" s="133"/>
      <c r="O30" s="134"/>
      <c r="P30" s="135"/>
      <c r="Q30" s="20"/>
      <c r="R30" s="136"/>
      <c r="S30" s="133"/>
      <c r="T30" s="134"/>
      <c r="U30" s="135"/>
      <c r="V30" s="20"/>
      <c r="W30" s="136"/>
      <c r="X30" s="133"/>
      <c r="Y30" s="134"/>
      <c r="Z30" s="140"/>
      <c r="AA30" s="126"/>
    </row>
    <row r="31" spans="2:27" x14ac:dyDescent="0.2">
      <c r="B31" s="122"/>
      <c r="C31" s="136"/>
      <c r="D31" s="133"/>
      <c r="E31" s="134"/>
      <c r="F31" s="135"/>
      <c r="G31" s="20"/>
      <c r="H31" s="136"/>
      <c r="I31" s="133"/>
      <c r="J31" s="134"/>
      <c r="K31" s="135"/>
      <c r="L31" s="20"/>
      <c r="M31" s="136"/>
      <c r="N31" s="133"/>
      <c r="O31" s="134"/>
      <c r="P31" s="135"/>
      <c r="Q31" s="20"/>
      <c r="R31" s="136"/>
      <c r="S31" s="133"/>
      <c r="T31" s="134"/>
      <c r="U31" s="135"/>
      <c r="V31" s="20"/>
      <c r="W31" s="136"/>
      <c r="X31" s="133"/>
      <c r="Y31" s="134"/>
      <c r="Z31" s="140"/>
      <c r="AA31" s="126"/>
    </row>
    <row r="32" spans="2:27" ht="17" thickBot="1" x14ac:dyDescent="0.25">
      <c r="B32" s="122"/>
      <c r="C32" s="136"/>
      <c r="D32" s="133"/>
      <c r="E32" s="134"/>
      <c r="F32" s="135"/>
      <c r="G32" s="20"/>
      <c r="H32" s="136"/>
      <c r="I32" s="133"/>
      <c r="J32" s="134"/>
      <c r="K32" s="135"/>
      <c r="L32" s="20"/>
      <c r="M32" s="136"/>
      <c r="N32" s="133"/>
      <c r="O32" s="134"/>
      <c r="P32" s="135"/>
      <c r="Q32" s="20"/>
      <c r="R32" s="136"/>
      <c r="S32" s="133"/>
      <c r="T32" s="134"/>
      <c r="U32" s="135"/>
      <c r="V32" s="20"/>
      <c r="W32" s="141"/>
      <c r="X32" s="142"/>
      <c r="Y32" s="143"/>
      <c r="Z32" s="144"/>
      <c r="AA32" s="126"/>
    </row>
    <row r="33" spans="2:27" ht="17" thickBot="1" x14ac:dyDescent="0.25">
      <c r="B33" s="123"/>
      <c r="C33" s="228" t="s">
        <v>42</v>
      </c>
      <c r="D33" s="229"/>
      <c r="E33" s="128">
        <f>SUM(E26:E32)</f>
        <v>0</v>
      </c>
      <c r="F33" s="129">
        <f>SUM(F26:F32)</f>
        <v>0</v>
      </c>
      <c r="G33" s="10"/>
      <c r="H33" s="228" t="s">
        <v>42</v>
      </c>
      <c r="I33" s="229"/>
      <c r="J33" s="129">
        <f>SUM(J26:J32)</f>
        <v>0</v>
      </c>
      <c r="K33" s="129">
        <f>SUM(K26:K32)</f>
        <v>0</v>
      </c>
      <c r="L33" s="10"/>
      <c r="M33" s="228" t="s">
        <v>42</v>
      </c>
      <c r="N33" s="229"/>
      <c r="O33" s="128">
        <f>SUM(O26:O32)</f>
        <v>0</v>
      </c>
      <c r="P33" s="129">
        <f>SUM(P26:P32)</f>
        <v>0</v>
      </c>
      <c r="Q33" s="10"/>
      <c r="R33" s="228" t="s">
        <v>42</v>
      </c>
      <c r="S33" s="229"/>
      <c r="T33" s="128">
        <f>SUM(T26:T32)</f>
        <v>0</v>
      </c>
      <c r="U33" s="129">
        <f>SUM(U26:U32)</f>
        <v>0</v>
      </c>
      <c r="V33" s="10"/>
      <c r="W33" s="228" t="s">
        <v>42</v>
      </c>
      <c r="X33" s="229"/>
      <c r="Y33" s="128">
        <f>SUM(Y26:Y32)</f>
        <v>0</v>
      </c>
      <c r="Z33" s="129">
        <f>SUM(Z26:Z32)</f>
        <v>0</v>
      </c>
      <c r="AA33" s="127"/>
    </row>
    <row r="34" spans="2:27" ht="17" thickBot="1" x14ac:dyDescent="0.25">
      <c r="B34" s="23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4"/>
    </row>
    <row r="35" spans="2:27" ht="18" thickTop="1" thickBot="1" x14ac:dyDescent="0.25">
      <c r="B35" s="130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27"/>
    </row>
    <row r="37" spans="2:27" x14ac:dyDescent="0.2">
      <c r="D37" s="96"/>
    </row>
  </sheetData>
  <sheetProtection sheet="1" objects="1" scenarios="1" selectLockedCells="1"/>
  <mergeCells count="16">
    <mergeCell ref="B2:I6"/>
    <mergeCell ref="R9:U9"/>
    <mergeCell ref="W8:Z8"/>
    <mergeCell ref="W9:Z9"/>
    <mergeCell ref="C8:F8"/>
    <mergeCell ref="C9:F9"/>
    <mergeCell ref="H8:K8"/>
    <mergeCell ref="H9:K9"/>
    <mergeCell ref="M8:P8"/>
    <mergeCell ref="M9:P9"/>
    <mergeCell ref="R8:U8"/>
    <mergeCell ref="C33:D33"/>
    <mergeCell ref="H33:I33"/>
    <mergeCell ref="M33:N33"/>
    <mergeCell ref="R33:S33"/>
    <mergeCell ref="W33:X33"/>
  </mergeCells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D315-A7DA-2649-88C1-C6478DEFA7BC}">
  <sheetPr codeName="Sheet5"/>
  <dimension ref="A2:AZ48"/>
  <sheetViews>
    <sheetView showGridLines="0" zoomScaleNormal="50" workbookViewId="0">
      <pane xSplit="4" topLeftCell="E1" activePane="topRight" state="frozen"/>
      <selection pane="topRight" activeCell="BB15" sqref="BB15"/>
    </sheetView>
  </sheetViews>
  <sheetFormatPr baseColWidth="10" defaultRowHeight="16" x14ac:dyDescent="0.2"/>
  <cols>
    <col min="3" max="4" width="13.33203125" bestFit="1" customWidth="1"/>
    <col min="5" max="5" width="12" customWidth="1"/>
    <col min="7" max="7" width="13.33203125" customWidth="1"/>
    <col min="8" max="8" width="13.1640625" customWidth="1"/>
    <col min="11" max="12" width="13.33203125" customWidth="1"/>
    <col min="15" max="16" width="13.33203125" customWidth="1"/>
    <col min="19" max="20" width="13.33203125" customWidth="1"/>
    <col min="23" max="24" width="13.33203125" customWidth="1"/>
    <col min="27" max="28" width="13.33203125" customWidth="1"/>
    <col min="31" max="32" width="13.33203125" customWidth="1"/>
    <col min="35" max="36" width="13.33203125" customWidth="1"/>
    <col min="39" max="40" width="13.33203125" customWidth="1"/>
    <col min="43" max="44" width="13.33203125" customWidth="1"/>
    <col min="47" max="48" width="13.33203125" customWidth="1"/>
    <col min="51" max="51" width="13.33203125" customWidth="1"/>
  </cols>
  <sheetData>
    <row r="2" spans="1:52" ht="17" thickBot="1" x14ac:dyDescent="0.25"/>
    <row r="3" spans="1:52" ht="16" customHeight="1" x14ac:dyDescent="0.2">
      <c r="D3" s="104"/>
      <c r="E3" s="231" t="s">
        <v>58</v>
      </c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14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06"/>
    </row>
    <row r="4" spans="1:52" ht="16" customHeight="1" x14ac:dyDescent="0.2">
      <c r="D4" s="107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148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09"/>
    </row>
    <row r="5" spans="1:52" ht="16" customHeight="1" x14ac:dyDescent="0.2">
      <c r="D5" s="107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148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09"/>
    </row>
    <row r="6" spans="1:52" ht="16" customHeight="1" x14ac:dyDescent="0.2">
      <c r="D6" s="107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148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09"/>
    </row>
    <row r="7" spans="1:52" ht="16" customHeight="1" thickBot="1" x14ac:dyDescent="0.25">
      <c r="D7" s="110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149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2"/>
    </row>
    <row r="8" spans="1:52" ht="16" customHeight="1" thickTop="1" thickBot="1" x14ac:dyDescent="0.25"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6"/>
    </row>
    <row r="9" spans="1:52" ht="16" customHeight="1" thickBot="1" x14ac:dyDescent="0.25">
      <c r="D9" s="107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09"/>
    </row>
    <row r="10" spans="1:52" ht="16" customHeight="1" x14ac:dyDescent="0.2">
      <c r="D10" s="244" t="s">
        <v>41</v>
      </c>
      <c r="E10" s="247" t="s">
        <v>0</v>
      </c>
      <c r="F10" s="248"/>
      <c r="G10" s="249"/>
      <c r="H10" s="157"/>
      <c r="I10" s="247" t="s">
        <v>1</v>
      </c>
      <c r="J10" s="248"/>
      <c r="K10" s="249"/>
      <c r="L10" s="157"/>
      <c r="M10" s="247" t="s">
        <v>2</v>
      </c>
      <c r="N10" s="248"/>
      <c r="O10" s="249"/>
      <c r="P10" s="157"/>
      <c r="Q10" s="247" t="s">
        <v>3</v>
      </c>
      <c r="R10" s="248"/>
      <c r="S10" s="249"/>
      <c r="T10" s="157"/>
      <c r="U10" s="247" t="s">
        <v>4</v>
      </c>
      <c r="V10" s="248"/>
      <c r="W10" s="249"/>
      <c r="X10" s="157"/>
      <c r="Y10" s="247" t="s">
        <v>5</v>
      </c>
      <c r="Z10" s="248"/>
      <c r="AA10" s="249"/>
      <c r="AB10" s="157"/>
      <c r="AC10" s="247" t="s">
        <v>11</v>
      </c>
      <c r="AD10" s="248"/>
      <c r="AE10" s="249"/>
      <c r="AF10" s="157"/>
      <c r="AG10" s="247" t="s">
        <v>6</v>
      </c>
      <c r="AH10" s="248"/>
      <c r="AI10" s="249"/>
      <c r="AJ10" s="157"/>
      <c r="AK10" s="247" t="s">
        <v>7</v>
      </c>
      <c r="AL10" s="248"/>
      <c r="AM10" s="249"/>
      <c r="AN10" s="157"/>
      <c r="AO10" s="247" t="s">
        <v>8</v>
      </c>
      <c r="AP10" s="248"/>
      <c r="AQ10" s="249"/>
      <c r="AR10" s="157"/>
      <c r="AS10" s="247" t="s">
        <v>9</v>
      </c>
      <c r="AT10" s="248"/>
      <c r="AU10" s="249"/>
      <c r="AV10" s="157"/>
      <c r="AW10" s="247" t="s">
        <v>10</v>
      </c>
      <c r="AX10" s="248"/>
      <c r="AY10" s="249"/>
      <c r="AZ10" s="153"/>
    </row>
    <row r="11" spans="1:52" ht="16" customHeight="1" thickBot="1" x14ac:dyDescent="0.25">
      <c r="A11" s="40"/>
      <c r="D11" s="245"/>
      <c r="E11" s="250"/>
      <c r="F11" s="251"/>
      <c r="G11" s="252"/>
      <c r="H11" s="157"/>
      <c r="I11" s="250"/>
      <c r="J11" s="251"/>
      <c r="K11" s="252"/>
      <c r="L11" s="157"/>
      <c r="M11" s="250"/>
      <c r="N11" s="251"/>
      <c r="O11" s="252"/>
      <c r="P11" s="157"/>
      <c r="Q11" s="250"/>
      <c r="R11" s="251"/>
      <c r="S11" s="252"/>
      <c r="T11" s="157"/>
      <c r="U11" s="250"/>
      <c r="V11" s="251"/>
      <c r="W11" s="252"/>
      <c r="X11" s="157"/>
      <c r="Y11" s="250"/>
      <c r="Z11" s="251"/>
      <c r="AA11" s="252"/>
      <c r="AB11" s="157"/>
      <c r="AC11" s="250"/>
      <c r="AD11" s="251"/>
      <c r="AE11" s="252"/>
      <c r="AF11" s="157"/>
      <c r="AG11" s="250"/>
      <c r="AH11" s="251"/>
      <c r="AI11" s="252"/>
      <c r="AJ11" s="157"/>
      <c r="AK11" s="250"/>
      <c r="AL11" s="251"/>
      <c r="AM11" s="252"/>
      <c r="AN11" s="157"/>
      <c r="AO11" s="250"/>
      <c r="AP11" s="251"/>
      <c r="AQ11" s="252"/>
      <c r="AR11" s="157"/>
      <c r="AS11" s="250"/>
      <c r="AT11" s="251"/>
      <c r="AU11" s="252"/>
      <c r="AV11" s="157"/>
      <c r="AW11" s="250"/>
      <c r="AX11" s="251"/>
      <c r="AY11" s="252"/>
      <c r="AZ11" s="153"/>
    </row>
    <row r="12" spans="1:52" ht="17" customHeight="1" x14ac:dyDescent="0.2">
      <c r="D12" s="245"/>
      <c r="E12" s="253" t="s">
        <v>12</v>
      </c>
      <c r="F12" s="253" t="s">
        <v>13</v>
      </c>
      <c r="G12" s="255" t="s">
        <v>14</v>
      </c>
      <c r="H12" s="158"/>
      <c r="I12" s="253" t="s">
        <v>12</v>
      </c>
      <c r="J12" s="253" t="s">
        <v>13</v>
      </c>
      <c r="K12" s="255" t="s">
        <v>14</v>
      </c>
      <c r="L12" s="158"/>
      <c r="M12" s="253" t="s">
        <v>12</v>
      </c>
      <c r="N12" s="253" t="s">
        <v>13</v>
      </c>
      <c r="O12" s="255" t="s">
        <v>14</v>
      </c>
      <c r="P12" s="158"/>
      <c r="Q12" s="253" t="s">
        <v>12</v>
      </c>
      <c r="R12" s="253" t="s">
        <v>13</v>
      </c>
      <c r="S12" s="255" t="s">
        <v>14</v>
      </c>
      <c r="T12" s="158"/>
      <c r="U12" s="253" t="s">
        <v>12</v>
      </c>
      <c r="V12" s="253" t="s">
        <v>13</v>
      </c>
      <c r="W12" s="255" t="s">
        <v>14</v>
      </c>
      <c r="X12" s="158"/>
      <c r="Y12" s="253" t="s">
        <v>12</v>
      </c>
      <c r="Z12" s="253" t="s">
        <v>13</v>
      </c>
      <c r="AA12" s="255" t="s">
        <v>14</v>
      </c>
      <c r="AB12" s="158"/>
      <c r="AC12" s="253" t="s">
        <v>12</v>
      </c>
      <c r="AD12" s="253" t="s">
        <v>13</v>
      </c>
      <c r="AE12" s="255" t="s">
        <v>14</v>
      </c>
      <c r="AF12" s="158"/>
      <c r="AG12" s="253" t="s">
        <v>12</v>
      </c>
      <c r="AH12" s="253" t="s">
        <v>13</v>
      </c>
      <c r="AI12" s="255" t="s">
        <v>14</v>
      </c>
      <c r="AJ12" s="158"/>
      <c r="AK12" s="253" t="s">
        <v>12</v>
      </c>
      <c r="AL12" s="253" t="s">
        <v>13</v>
      </c>
      <c r="AM12" s="255" t="s">
        <v>14</v>
      </c>
      <c r="AN12" s="158"/>
      <c r="AO12" s="253" t="s">
        <v>12</v>
      </c>
      <c r="AP12" s="253" t="s">
        <v>13</v>
      </c>
      <c r="AQ12" s="255" t="s">
        <v>14</v>
      </c>
      <c r="AR12" s="158"/>
      <c r="AS12" s="253" t="s">
        <v>12</v>
      </c>
      <c r="AT12" s="253" t="s">
        <v>13</v>
      </c>
      <c r="AU12" s="255" t="s">
        <v>14</v>
      </c>
      <c r="AV12" s="158"/>
      <c r="AW12" s="253" t="s">
        <v>12</v>
      </c>
      <c r="AX12" s="253" t="s">
        <v>13</v>
      </c>
      <c r="AY12" s="255" t="s">
        <v>14</v>
      </c>
      <c r="AZ12" s="109"/>
    </row>
    <row r="13" spans="1:52" ht="17" customHeight="1" thickBot="1" x14ac:dyDescent="0.25">
      <c r="D13" s="246"/>
      <c r="E13" s="254"/>
      <c r="F13" s="254"/>
      <c r="G13" s="256"/>
      <c r="H13" s="154"/>
      <c r="I13" s="254"/>
      <c r="J13" s="254"/>
      <c r="K13" s="256"/>
      <c r="L13" s="154"/>
      <c r="M13" s="254"/>
      <c r="N13" s="254"/>
      <c r="O13" s="256"/>
      <c r="P13" s="154"/>
      <c r="Q13" s="254"/>
      <c r="R13" s="254"/>
      <c r="S13" s="256"/>
      <c r="T13" s="154"/>
      <c r="U13" s="254"/>
      <c r="V13" s="254"/>
      <c r="W13" s="256"/>
      <c r="X13" s="154"/>
      <c r="Y13" s="254"/>
      <c r="Z13" s="254"/>
      <c r="AA13" s="256"/>
      <c r="AB13" s="154"/>
      <c r="AC13" s="254"/>
      <c r="AD13" s="254"/>
      <c r="AE13" s="256"/>
      <c r="AF13" s="154"/>
      <c r="AG13" s="254"/>
      <c r="AH13" s="254"/>
      <c r="AI13" s="256"/>
      <c r="AJ13" s="154"/>
      <c r="AK13" s="254"/>
      <c r="AL13" s="254"/>
      <c r="AM13" s="256"/>
      <c r="AN13" s="154"/>
      <c r="AO13" s="254"/>
      <c r="AP13" s="254"/>
      <c r="AQ13" s="256"/>
      <c r="AR13" s="154"/>
      <c r="AS13" s="254"/>
      <c r="AT13" s="254"/>
      <c r="AU13" s="256"/>
      <c r="AV13" s="154"/>
      <c r="AW13" s="254"/>
      <c r="AX13" s="254"/>
      <c r="AY13" s="256"/>
      <c r="AZ13" s="109"/>
    </row>
    <row r="14" spans="1:52" ht="18" hidden="1" x14ac:dyDescent="0.2">
      <c r="D14" s="150">
        <v>1</v>
      </c>
      <c r="E14" s="159" t="str">
        <f ca="1">IF(SUMIF(INDIRECT(_xlfn.CONCAT("'Order Tracker'!E12:F",Data!$AM$3)),DATE(2025,MATCH(UPPER($E$10), {"JAN","FEB","MAR","APR","MAY","JUN","JUL","AUG","SEP","OCT","NOV","DEC"}, 0),(DAY($D14))),INDIRECT(_xlfn.CONCAT("'Order Tracker'!Q12:R",Data!$AM$3)))=0,"- -",SUMIF(INDIRECT(_xlfn.CONCAT("'Order Tracker'!E12:F",Data!$AM$3)),DATE(2025,MATCH(UPPER($E$10), {"JAN","FEB","MAR","APR","MAY","JUN","JUL","AUG","SEP","OCT","NOV","DEC"}, 0),(DAY($D14))),INDIRECT(_xlfn.CONCAT("'Order Tracker'!Q12:R",Data!$AM$3))))</f>
        <v>- -</v>
      </c>
      <c r="F14" s="159" t="str">
        <f ca="1">IF(SUMIF(INDIRECT(_xlfn.CONCAT("'Order Tracker'!E12:F",Data!$AM$3)),DATE(2025,MATCH(UPPER($E$10), {"JAN","FEB","MAR","APR","MAY","JUN","JUL","AUG","SEP","OCT","NOV","DEC"}, 0),(DAY($D14))),INDIRECT(_xlfn.CONCAT("'Order Tracker'!S12:T",Data!$AM$3)))=0,"- -",SUMIF(INDIRECT(_xlfn.CONCAT("'Order Tracker'!E12:F",Data!$AM$3)),DATE(2025,MATCH(UPPER($E$10), {"JAN","FEB","MAR","APR","MAY","JUN","JUL","AUG","SEP","OCT","NOV","DEC"}, 0),(DAY($D14))),INDIRECT(_xlfn.CONCAT("'Order Tracker'!S12:T",Data!$AM$3))))</f>
        <v>- -</v>
      </c>
      <c r="G14" s="155">
        <f ca="1">IFERROR(E14-F14,0)</f>
        <v>0</v>
      </c>
      <c r="H14" s="8"/>
      <c r="I14" s="159" t="str">
        <f ca="1">IF(SUMIF(INDIRECT(_xlfn.CONCAT("'Order Tracker'!E12:F",Data!$AM$3)),DATE(2025,MATCH(UPPER($I$10), {"JAN","FEB","MAR","APR","MAY","JUN","JUL","AUG","SEP","OCT","NOV","DEC"}, 0),(DAY($D14))),INDIRECT(_xlfn.CONCAT("'Order Tracker'!Q12:R",Data!$AM$3)))=0,"- -",SUMIF(INDIRECT(_xlfn.CONCAT("'Order Tracker'!E12:F",Data!$AM$3)),DATE(2025,MATCH(UPPER($I$10), {"JAN","FEB","MAR","APR","MAY","JUN","JUL","AUG","SEP","OCT","NOV","DEC"}, 0),(DAY($D14))),INDIRECT(_xlfn.CONCAT("'Order Tracker'!Q12:R",Data!$AM$3))))</f>
        <v>- -</v>
      </c>
      <c r="J14" s="159" t="str">
        <f ca="1">IF(SUMIF(INDIRECT(_xlfn.CONCAT("'Order Tracker'!E12:F",Data!$AM$3)),DATE(2025,MATCH(UPPER($I$10), {"JAN","FEB","MAR","APR","MAY","JUN","JUL","AUG","SEP","OCT","NOV","DEC"}, 0),(DAY($D14))),INDIRECT(_xlfn.CONCAT("'Order Tracker'!S12:T",Data!$AM$3)))=0,"- -",SUMIF(INDIRECT(_xlfn.CONCAT("'Order Tracker'!E12:F",Data!$AM$3)),DATE(2025,MATCH(UPPER($I$10), {"JAN","FEB","MAR","APR","MAY","JUN","JUL","AUG","SEP","OCT","NOV","DEC"}, 0),(DAY($D14))),INDIRECT(_xlfn.CONCAT("'Order Tracker'!S12:T",Data!$AM$3))))</f>
        <v>- -</v>
      </c>
      <c r="K14" s="155">
        <f ca="1">IFERROR(I14-J14,0)</f>
        <v>0</v>
      </c>
      <c r="L14" s="8"/>
      <c r="M14" s="159" t="str">
        <f ca="1">IF(SUMIF(INDIRECT(_xlfn.CONCAT("'Order Tracker'!E12:F",Data!$AM$3)),DATE(2025,MATCH(UPPER($M$10), {"JAN","FEB","MAR","APR","MAY","JUN","JUL","AUG","SEP","OCT","NOV","DEC"}, 0),(DAY($D14))),INDIRECT(_xlfn.CONCAT("'Order Tracker'!Q12:R",Data!$AM$3)))=0,"- -",SUMIF(INDIRECT(_xlfn.CONCAT("'Order Tracker'!E12:F",Data!$AM$3)),DATE(2025,MATCH(UPPER($M$10), {"JAN","FEB","MAR","APR","MAY","JUN","JUL","AUG","SEP","OCT","NOV","DEC"}, 0),(DAY($D14))),INDIRECT(_xlfn.CONCAT("'Order Tracker'!Q12:R",Data!$AM$3))))</f>
        <v>- -</v>
      </c>
      <c r="N14" s="159" t="str">
        <f ca="1">IF(SUMIF(INDIRECT(_xlfn.CONCAT("'Order Tracker'!E12:F",Data!$AM$3)),DATE(2025,MATCH(UPPER($M$10), {"JAN","FEB","MAR","APR","MAY","JUN","JUL","AUG","SEP","OCT","NOV","DEC"}, 0),(DAY($D14))),INDIRECT(_xlfn.CONCAT("'Order Tracker'!S12:T",Data!$AM$3)))=0,"- -",SUMIF(INDIRECT(_xlfn.CONCAT("'Order Tracker'!E12:F",Data!$AM$3)),DATE(2025,MATCH(UPPER($M$10), {"JAN","FEB","MAR","APR","MAY","JUN","JUL","AUG","SEP","OCT","NOV","DEC"}, 0),(DAY($D14))),INDIRECT(_xlfn.CONCAT("'Order Tracker'!S12:T",Data!$AM$3))))</f>
        <v>- -</v>
      </c>
      <c r="O14" s="155">
        <f ca="1">IFERROR(M14-N14,0)</f>
        <v>0</v>
      </c>
      <c r="P14" s="8"/>
      <c r="Q14" s="159" t="str">
        <f ca="1">IF(SUMIF(INDIRECT(_xlfn.CONCAT("'Order Tracker'!E12:F",Data!$AM$3)),DATE(2025,MATCH(UPPER($Q$10), {"JAN","FEB","MAR","APR","MAY","JUN","JUL","AUG","SEP","OCT","NOV","DEC"}, 0),(DAY($D14))),INDIRECT(_xlfn.CONCAT("'Order Tracker'!Q12:R",Data!$AM$3)))=0,"- -",SUMIF(INDIRECT(_xlfn.CONCAT("'Order Tracker'!E12:F",Data!$AM$3)),DATE(2025,MATCH(UPPER($Q$10), {"JAN","FEB","MAR","APR","MAY","JUN","JUL","AUG","SEP","OCT","NOV","DEC"}, 0),(DAY($D14))),INDIRECT(_xlfn.CONCAT("'Order Tracker'!Q12:R",Data!$AM$3))))</f>
        <v>- -</v>
      </c>
      <c r="R14" s="159" t="str">
        <f ca="1">IF(SUMIF(INDIRECT(_xlfn.CONCAT("'Order Tracker'!E12:F",Data!$AM$3)),DATE(2025,MATCH(UPPER($Q$10), {"JAN","FEB","MAR","APR","MAY","JUN","JUL","AUG","SEP","OCT","NOV","DEC"}, 0),(DAY($D14))),INDIRECT(_xlfn.CONCAT("'Order Tracker'!S12:T",Data!$AM$3)))=0,"- -",SUMIF(INDIRECT(_xlfn.CONCAT("'Order Tracker'!E12:F",Data!$AM$3)),DATE(2025,MATCH(UPPER($Q$10), {"JAN","FEB","MAR","APR","MAY","JUN","JUL","AUG","SEP","OCT","NOV","DEC"}, 0),(DAY($D14))),INDIRECT(_xlfn.CONCAT("'Order Tracker'!S12:T",Data!$AM$3))))</f>
        <v>- -</v>
      </c>
      <c r="S14" s="155">
        <f ca="1">IFERROR(Q14-R14,0)</f>
        <v>0</v>
      </c>
      <c r="T14" s="8"/>
      <c r="U14" s="159" t="str">
        <f ca="1">IF(SUMIF(INDIRECT(_xlfn.CONCAT("'Order Tracker'!E12:F",Data!$AM$3)),DATE(2025,MATCH(UPPER($U$10), {"JAN","FEB","MAR","APR","MAY","JUN","JUL","AUG","SEP","OCT","NOV","DEC"}, 0),(DAY($D14))),INDIRECT(_xlfn.CONCAT("'Order Tracker'!Q12:R",Data!$AM$3)))=0,"- -",SUMIF(INDIRECT(_xlfn.CONCAT("'Order Tracker'!E12:F",Data!$AM$3)),DATE(2025,MATCH(UPPER($U$10), {"JAN","FEB","MAR","APR","MAY","JUN","JUL","AUG","SEP","OCT","NOV","DEC"}, 0),(DAY($D14))),INDIRECT(_xlfn.CONCAT("'Order Tracker'!Q12:R",Data!$AM$3))))</f>
        <v>- -</v>
      </c>
      <c r="V14" s="159" t="str">
        <f ca="1">IF(SUMIF(INDIRECT(_xlfn.CONCAT("'Order Tracker'!E12:F",Data!$AM$3)),DATE(2025,MATCH(UPPER($U$10), {"JAN","FEB","MAR","APR","MAY","JUN","JUL","AUG","SEP","OCT","NOV","DEC"}, 0),(DAY($D14))),INDIRECT(_xlfn.CONCAT("'Order Tracker'!S12:T",Data!$AM$3)))=0,"- -",SUMIF(INDIRECT(_xlfn.CONCAT("'Order Tracker'!E12:F",Data!$AM$3)),DATE(2025,MATCH(UPPER($U$10), {"JAN","FEB","MAR","APR","MAY","JUN","JUL","AUG","SEP","OCT","NOV","DEC"}, 0),(DAY($D14))),INDIRECT(_xlfn.CONCAT("'Order Tracker'!S12:T",Data!$AM$3))))</f>
        <v>- -</v>
      </c>
      <c r="W14" s="155">
        <f ca="1">IFERROR(U14-V14,0)</f>
        <v>0</v>
      </c>
      <c r="X14" s="8"/>
      <c r="Y14" s="159" t="str">
        <f ca="1">IF(SUMIF(INDIRECT(_xlfn.CONCAT("'Order Tracker'!E12:F",Data!$AM$3)),DATE(2025,MATCH(UPPER($Y$10), {"JAN","FEB","MAR","APR","MAY","JUN","JUL","AUG","SEP","OCT","NOV","DEC"}, 0),(DAY($D14))),INDIRECT(_xlfn.CONCAT("'Order Tracker'!Q12:R",Data!$AM$3)))=0,"- -",SUMIF(INDIRECT(_xlfn.CONCAT("'Order Tracker'!E12:F",Data!$AM$3)),DATE(2025,MATCH(UPPER($Y$10), {"JAN","FEB","MAR","APR","MAY","JUN","JUL","AUG","SEP","OCT","NOV","DEC"}, 0),(DAY($D14))),INDIRECT(_xlfn.CONCAT("'Order Tracker'!Q12:R",Data!$AM$3))))</f>
        <v>- -</v>
      </c>
      <c r="Z14" s="159" t="str">
        <f ca="1">IF(SUMIF(INDIRECT(_xlfn.CONCAT("'Order Tracker'!E12:F",Data!$AM$3)),DATE(2025,MATCH(UPPER($Y$10), {"JAN","FEB","MAR","APR","MAY","JUN","JUL","AUG","SEP","OCT","NOV","DEC"}, 0),(DAY($D14))),INDIRECT(_xlfn.CONCAT("'Order Tracker'!S12:T",Data!$AM$3)))=0,"- -",SUMIF(INDIRECT(_xlfn.CONCAT("'Order Tracker'!E12:F",Data!$AM$3)),DATE(2025,MATCH(UPPER($Y$10), {"JAN","FEB","MAR","APR","MAY","JUN","JUL","AUG","SEP","OCT","NOV","DEC"}, 0),(DAY($D14))),INDIRECT(_xlfn.CONCAT("'Order Tracker'!S12:T",Data!$AM$3))))</f>
        <v>- -</v>
      </c>
      <c r="AA14" s="155">
        <f ca="1">IFERROR(Y14-Z14,0)</f>
        <v>0</v>
      </c>
      <c r="AB14" s="8"/>
      <c r="AC14" s="159" t="str">
        <f ca="1">IF(SUMIF(INDIRECT(_xlfn.CONCAT("'Order Tracker'!E12:F",Data!$AM$3)),DATE(2025,MATCH(UPPER($AC$10), {"JAN","FEB","MAR","APR","MAY","JUN","JUL","AUG","SEP","OCT","NOV","DEC"}, 0),(DAY($D14))),INDIRECT(_xlfn.CONCAT("'Order Tracker'!Q12:R",Data!$AM$3)))=0,"- -",SUMIF(INDIRECT(_xlfn.CONCAT("'Order Tracker'!E12:F",Data!$AM$3)),DATE(2025,MATCH(UPPER($AC$10), {"JAN","FEB","MAR","APR","MAY","JUN","JUL","AUG","SEP","OCT","NOV","DEC"}, 0),(DAY($D14))),INDIRECT(_xlfn.CONCAT("'Order Tracker'!Q12:R",Data!$AM$3))))</f>
        <v>- -</v>
      </c>
      <c r="AD14" s="159" t="str">
        <f ca="1">IF(SUMIF(INDIRECT(_xlfn.CONCAT("'Order Tracker'!E12:F",Data!$AM$3)),DATE(2025,MATCH(UPPER($AC$10), {"JAN","FEB","MAR","APR","MAY","JUN","JUL","AUG","SEP","OCT","NOV","DEC"}, 0),(DAY($D14))),INDIRECT(_xlfn.CONCAT("'Order Tracker'!S12:T",Data!$AM$3)))=0,"- -",SUMIF(INDIRECT(_xlfn.CONCAT("'Order Tracker'!E12:F",Data!$AM$3)),DATE(2025,MATCH(UPPER($AC$10), {"JAN","FEB","MAR","APR","MAY","JUN","JUL","AUG","SEP","OCT","NOV","DEC"}, 0),(DAY($D14))),INDIRECT(_xlfn.CONCAT("'Order Tracker'!S12:T",Data!$AM$3))))</f>
        <v>- -</v>
      </c>
      <c r="AE14" s="155">
        <f ca="1">IFERROR(AC14-AD14,0)</f>
        <v>0</v>
      </c>
      <c r="AF14" s="8"/>
      <c r="AG14" s="159" t="str">
        <f ca="1">IF(SUMIF(INDIRECT(_xlfn.CONCAT("'Order Tracker'!E12:F",Data!$AM$3)),DATE(2025,MATCH(UPPER($AG$10), {"JAN","FEB","MAR","APR","MAY","JUN","JUL","AUG","SEP","OCT","NOV","DEC"}, 0),(DAY($D14))),INDIRECT(_xlfn.CONCAT("'Order Tracker'!Q12:R",Data!$AM$3)))=0,"- -",SUMIF(INDIRECT(_xlfn.CONCAT("'Order Tracker'!E12:F",Data!$AM$3)),DATE(2025,MATCH(UPPER($AG$10), {"JAN","FEB","MAR","APR","MAY","JUN","JUL","AUG","SEP","OCT","NOV","DEC"}, 0),(DAY($D14))),INDIRECT(_xlfn.CONCAT("'Order Tracker'!Q12:R",Data!$AM$3))))</f>
        <v>- -</v>
      </c>
      <c r="AH14" s="159" t="str">
        <f ca="1">IF(SUMIF(INDIRECT(_xlfn.CONCAT("'Order Tracker'!E12:F",Data!$AM$3)),DATE(2025,MATCH(UPPER($AG$10), {"JAN","FEB","MAR","APR","MAY","JUN","JUL","AUG","SEP","OCT","NOV","DEC"}, 0),(DAY($D14))),INDIRECT(_xlfn.CONCAT("'Order Tracker'!S12:T",Data!$AM$3)))=0,"- -",SUMIF(INDIRECT(_xlfn.CONCAT("'Order Tracker'!E12:F",Data!$AM$3)),DATE(2025,MATCH(UPPER($AG$10), {"JAN","FEB","MAR","APR","MAY","JUN","JUL","AUG","SEP","OCT","NOV","DEC"}, 0),(DAY($D14))),INDIRECT(_xlfn.CONCAT("'Order Tracker'!S12:T",Data!$AM$3))))</f>
        <v>- -</v>
      </c>
      <c r="AI14" s="155">
        <f ca="1">IFERROR(AG14-AH14,0)</f>
        <v>0</v>
      </c>
      <c r="AJ14" s="8"/>
      <c r="AK14" s="159" t="str">
        <f ca="1">IF(SUMIF(INDIRECT(_xlfn.CONCAT("'Order Tracker'!E12:F",Data!$AM$3)),DATE(2025,MATCH(UPPER($AK$10), {"JAN","FEB","MAR","APR","MAY","JUN","JUL","AUG","SEP","OCT","NOV","DEC"}, 0),(DAY($D14))),INDIRECT(_xlfn.CONCAT("'Order Tracker'!Q12:R",Data!$AM$3)))=0,"- -",SUMIF(INDIRECT(_xlfn.CONCAT("'Order Tracker'!E12:F",Data!$AM$3)),DATE(2025,MATCH(UPPER($AK$10), {"JAN","FEB","MAR","APR","MAY","JUN","JUL","AUG","SEP","OCT","NOV","DEC"}, 0),(DAY($D14))),INDIRECT(_xlfn.CONCAT("'Order Tracker'!Q12:R",Data!$AM$3))))</f>
        <v>- -</v>
      </c>
      <c r="AL14" s="159" t="str">
        <f ca="1">IF(SUMIF(INDIRECT(_xlfn.CONCAT("'Order Tracker'!E12:F",Data!$AM$3)),DATE(2025,MATCH(UPPER($AK$10), {"JAN","FEB","MAR","APR","MAY","JUN","JUL","AUG","SEP","OCT","NOV","DEC"}, 0),(DAY($D14))),INDIRECT(_xlfn.CONCAT("'Order Tracker'!S12:T",Data!$AM$3)))=0,"- -",SUMIF(INDIRECT(_xlfn.CONCAT("'Order Tracker'!E12:F",Data!$AM$3)),DATE(2025,MATCH(UPPER($AK$10), {"JAN","FEB","MAR","APR","MAY","JUN","JUL","AUG","SEP","OCT","NOV","DEC"}, 0),(DAY($D14))),INDIRECT(_xlfn.CONCAT("'Order Tracker'!S12:T",Data!$AM$3))))</f>
        <v>- -</v>
      </c>
      <c r="AM14" s="155">
        <f ca="1">IFERROR(AK14-AL14,0)</f>
        <v>0</v>
      </c>
      <c r="AN14" s="8"/>
      <c r="AO14" s="159" t="str">
        <f ca="1">IF(SUMIF(INDIRECT(_xlfn.CONCAT("'Order Tracker'!E12:F",Data!$AM$3)),DATE(2025,MATCH(UPPER($AO$10), {"JAN","FEB","MAR","APR","MAY","JUN","JUL","AUG","SEP","OCT","NOV","DEC"}, 0),(DAY($D14))),INDIRECT(_xlfn.CONCAT("'Order Tracker'!Q12:R",Data!$AM$3)))=0,"- -",SUMIF(INDIRECT(_xlfn.CONCAT("'Order Tracker'!E12:F",Data!$AM$3)),DATE(2025,MATCH(UPPER($AO$10), {"JAN","FEB","MAR","APR","MAY","JUN","JUL","AUG","SEP","OCT","NOV","DEC"}, 0),(DAY($D14))),INDIRECT(_xlfn.CONCAT("'Order Tracker'!Q12:R",Data!$AM$3))))</f>
        <v>- -</v>
      </c>
      <c r="AP14" s="159" t="str">
        <f ca="1">IF(SUMIF(INDIRECT(_xlfn.CONCAT("'Order Tracker'!E12:F",Data!$AM$3)),DATE(2025,MATCH(UPPER($AO$10), {"JAN","FEB","MAR","APR","MAY","JUN","JUL","AUG","SEP","OCT","NOV","DEC"}, 0),(DAY($D14))),INDIRECT(_xlfn.CONCAT("'Order Tracker'!S12:T",Data!$AM$3)))=0,"- -",SUMIF(INDIRECT(_xlfn.CONCAT("'Order Tracker'!E12:F",Data!$AM$3)),DATE(2025,MATCH(UPPER($AO$10), {"JAN","FEB","MAR","APR","MAY","JUN","JUL","AUG","SEP","OCT","NOV","DEC"}, 0),(DAY($D14))),INDIRECT(_xlfn.CONCAT("'Order Tracker'!S12:T",Data!$AM$3))))</f>
        <v>- -</v>
      </c>
      <c r="AQ14" s="155">
        <f ca="1">IFERROR(AO14-AP14,0)</f>
        <v>0</v>
      </c>
      <c r="AR14" s="8"/>
      <c r="AS14" s="159" t="str">
        <f ca="1">IF(SUMIF(INDIRECT(_xlfn.CONCAT("'Order Tracker'!E12:F",Data!$AM$3)),DATE(2025,MATCH(UPPER($AS$10), {"JAN","FEB","MAR","APR","MAY","JUN","JUL","AUG","SEP","OCT","NOV","DEC"}, 0),(DAY($D14))),INDIRECT(_xlfn.CONCAT("'Order Tracker'!Q12:R",Data!$AM$3)))=0,"- -",SUMIF(INDIRECT(_xlfn.CONCAT("'Order Tracker'!E12:F",Data!$AM$3)),DATE(2025,MATCH(UPPER($AS$10), {"JAN","FEB","MAR","APR","MAY","JUN","JUL","AUG","SEP","OCT","NOV","DEC"}, 0),(DAY($D14))),INDIRECT(_xlfn.CONCAT("'Order Tracker'!Q12:R",Data!$AM$3))))</f>
        <v>- -</v>
      </c>
      <c r="AT14" s="159" t="str">
        <f ca="1">IF(SUMIF(INDIRECT(_xlfn.CONCAT("'Order Tracker'!E12:F",Data!$AM$3)),DATE(2025,MATCH(UPPER($AS$10), {"JAN","FEB","MAR","APR","MAY","JUN","JUL","AUG","SEP","OCT","NOV","DEC"}, 0),(DAY($D14))),INDIRECT(_xlfn.CONCAT("'Order Tracker'!S12:T",Data!$AM$3)))=0,"- -",SUMIF(INDIRECT(_xlfn.CONCAT("'Order Tracker'!E12:F",Data!$AM$3)),DATE(2025,MATCH(UPPER($AS$10), {"JAN","FEB","MAR","APR","MAY","JUN","JUL","AUG","SEP","OCT","NOV","DEC"}, 0),(DAY($D14))),INDIRECT(_xlfn.CONCAT("'Order Tracker'!S12:T",Data!$AM$3))))</f>
        <v>- -</v>
      </c>
      <c r="AU14" s="155">
        <f ca="1">IFERROR(AS14-AT14,0)</f>
        <v>0</v>
      </c>
      <c r="AV14" s="9"/>
      <c r="AW14" s="159" t="str">
        <f ca="1">IF(SUMIF(INDIRECT(_xlfn.CONCAT("'Order Tracker'!E12:F",Data!$AM$3)),DATE(2025,MATCH(UPPER($AW$10), {"JAN","FEB","MAR","APR","MAY","JUN","JUL","AUG","SEP","OCT","NOV","DEC"}, 0),(DAY($D14))),INDIRECT(_xlfn.CONCAT("'Order Tracker'!Q12:R",Data!$AM$3)))=0,"- -",SUMIF(INDIRECT(_xlfn.CONCAT("'Order Tracker'!E12:F",Data!$AM$3)),DATE(2025,MATCH(UPPER($AW$10), {"JAN","FEB","MAR","APR","MAY","JUN","JUL","AUG","SEP","OCT","NOV","DEC"}, 0),(DAY($D14))),INDIRECT(_xlfn.CONCAT("'Order Tracker'!Q12:R",Data!$AM$3))))</f>
        <v>- -</v>
      </c>
      <c r="AX14" s="159" t="str">
        <f ca="1">IF(SUMIF(INDIRECT(_xlfn.CONCAT("'Order Tracker'!E12:F",Data!$AM$3)),DATE(2025,MATCH(UPPER($AW$10), {"JAN","FEB","MAR","APR","MAY","JUN","JUL","AUG","SEP","OCT","NOV","DEC"}, 0),(DAY($D14))),INDIRECT(_xlfn.CONCAT("'Order Tracker'!S12:T",Data!$AM$3)))=0,"- -",SUMIF(INDIRECT(_xlfn.CONCAT("'Order Tracker'!E12:F",Data!$AM$3)),DATE(2025,MATCH(UPPER($AW$10), {"JAN","FEB","MAR","APR","MAY","JUN","JUL","AUG","SEP","OCT","NOV","DEC"}, 0),(DAY($D14))),INDIRECT(_xlfn.CONCAT("'Order Tracker'!S12:T",Data!$AM$3))))</f>
        <v>- -</v>
      </c>
      <c r="AY14" s="155">
        <f ca="1">IFERROR(AW14-AX14,0)</f>
        <v>0</v>
      </c>
      <c r="AZ14" s="109"/>
    </row>
    <row r="15" spans="1:52" ht="18" hidden="1" x14ac:dyDescent="0.2">
      <c r="D15" s="151">
        <v>2</v>
      </c>
      <c r="E15" s="160" t="str">
        <f ca="1">IF(SUMIF(INDIRECT(_xlfn.CONCAT("'Order Tracker'!E12:F",Data!$AM$3)),DATE(2025,MATCH(UPPER($E$10), {"JAN","FEB","MAR","APR","MAY","JUN","JUL","AUG","SEP","OCT","NOV","DEC"}, 0),(DAY($D15))),INDIRECT(_xlfn.CONCAT("'Order Tracker'!Q12:R",Data!$AM$3)))=0,"- -",SUMIF(INDIRECT(_xlfn.CONCAT("'Order Tracker'!E12:F",Data!$AM$3)),DATE(2025,MATCH(UPPER($E$10), {"JAN","FEB","MAR","APR","MAY","JUN","JUL","AUG","SEP","OCT","NOV","DEC"}, 0),(DAY($D15))),INDIRECT(_xlfn.CONCAT("'Order Tracker'!Q12:R",Data!$AM$3))))</f>
        <v>- -</v>
      </c>
      <c r="F15" s="160" t="str">
        <f ca="1">IF(SUMIF(INDIRECT(_xlfn.CONCAT("'Order Tracker'!E12:F",Data!$AM$3)),DATE(2025,MATCH(UPPER($E$10), {"JAN","FEB","MAR","APR","MAY","JUN","JUL","AUG","SEP","OCT","NOV","DEC"}, 0),(DAY($D15))),INDIRECT(_xlfn.CONCAT("'Order Tracker'!S12:T",Data!$AM$3)))=0,"- -",SUMIF(INDIRECT(_xlfn.CONCAT("'Order Tracker'!E12:F",Data!$AM$3)),DATE(2025,MATCH(UPPER($E$10), {"JAN","FEB","MAR","APR","MAY","JUN","JUL","AUG","SEP","OCT","NOV","DEC"}, 0),(DAY($D15))),INDIRECT(_xlfn.CONCAT("'Order Tracker'!S12:T",Data!$AM$3))))</f>
        <v>- -</v>
      </c>
      <c r="G15" s="156">
        <f ca="1">IFERROR(E15-F15,0)</f>
        <v>0</v>
      </c>
      <c r="H15" s="10"/>
      <c r="I15" s="160" t="str">
        <f ca="1">IF(SUMIF(INDIRECT(_xlfn.CONCAT("'Order Tracker'!E12:F",Data!$AM$3)),DATE(2025,MATCH(UPPER($I$10), {"JAN","FEB","MAR","APR","MAY","JUN","JUL","AUG","SEP","OCT","NOV","DEC"}, 0),(DAY($D15))),INDIRECT(_xlfn.CONCAT("'Order Tracker'!Q12:R",Data!$AM$3)))=0,"- -",SUMIF(INDIRECT(_xlfn.CONCAT("'Order Tracker'!E12:F",Data!$AM$3)),DATE(2025,MATCH(UPPER($I$10), {"JAN","FEB","MAR","APR","MAY","JUN","JUL","AUG","SEP","OCT","NOV","DEC"}, 0),(DAY($D15))),INDIRECT(_xlfn.CONCAT("'Order Tracker'!Q12:R",Data!$AM$3))))</f>
        <v>- -</v>
      </c>
      <c r="J15" s="160" t="str">
        <f ca="1">IF(SUMIF(INDIRECT(_xlfn.CONCAT("'Order Tracker'!E12:F",Data!$AM$3)),DATE(2025,MATCH(UPPER($I$10), {"JAN","FEB","MAR","APR","MAY","JUN","JUL","AUG","SEP","OCT","NOV","DEC"}, 0),(DAY($D15))),INDIRECT(_xlfn.CONCAT("'Order Tracker'!S12:T",Data!$AM$3)))=0,"- -",SUMIF(INDIRECT(_xlfn.CONCAT("'Order Tracker'!E12:F",Data!$AM$3)),DATE(2025,MATCH(UPPER($I$10), {"JAN","FEB","MAR","APR","MAY","JUN","JUL","AUG","SEP","OCT","NOV","DEC"}, 0),(DAY($D15))),INDIRECT(_xlfn.CONCAT("'Order Tracker'!S12:T",Data!$AM$3))))</f>
        <v>- -</v>
      </c>
      <c r="K15" s="156">
        <f ca="1">IFERROR(I15-J15,0)</f>
        <v>0</v>
      </c>
      <c r="L15" s="10"/>
      <c r="M15" s="160" t="str">
        <f ca="1">IF(SUMIF(INDIRECT(_xlfn.CONCAT("'Order Tracker'!E12:F",Data!$AM$3)),DATE(2025,MATCH(UPPER($M$10), {"JAN","FEB","MAR","APR","MAY","JUN","JUL","AUG","SEP","OCT","NOV","DEC"}, 0),(DAY($D15))),INDIRECT(_xlfn.CONCAT("'Order Tracker'!Q12:R",Data!$AM$3)))=0,"- -",SUMIF(INDIRECT(_xlfn.CONCAT("'Order Tracker'!E12:F",Data!$AM$3)),DATE(2025,MATCH(UPPER($M$10), {"JAN","FEB","MAR","APR","MAY","JUN","JUL","AUG","SEP","OCT","NOV","DEC"}, 0),(DAY($D15))),INDIRECT(_xlfn.CONCAT("'Order Tracker'!Q12:R",Data!$AM$3))))</f>
        <v>- -</v>
      </c>
      <c r="N15" s="160" t="str">
        <f ca="1">IF(SUMIF(INDIRECT(_xlfn.CONCAT("'Order Tracker'!E12:F",Data!$AM$3)),DATE(2025,MATCH(UPPER($M$10), {"JAN","FEB","MAR","APR","MAY","JUN","JUL","AUG","SEP","OCT","NOV","DEC"}, 0),(DAY($D15))),INDIRECT(_xlfn.CONCAT("'Order Tracker'!S12:T",Data!$AM$3)))=0,"- -",SUMIF(INDIRECT(_xlfn.CONCAT("'Order Tracker'!E12:F",Data!$AM$3)),DATE(2025,MATCH(UPPER($M$10), {"JAN","FEB","MAR","APR","MAY","JUN","JUL","AUG","SEP","OCT","NOV","DEC"}, 0),(DAY($D15))),INDIRECT(_xlfn.CONCAT("'Order Tracker'!S12:T",Data!$AM$3))))</f>
        <v>- -</v>
      </c>
      <c r="O15" s="156">
        <f ca="1">IFERROR(M15-N15,0)</f>
        <v>0</v>
      </c>
      <c r="P15" s="10"/>
      <c r="Q15" s="160" t="str">
        <f ca="1">IF(SUMIF(INDIRECT(_xlfn.CONCAT("'Order Tracker'!E12:F",Data!$AM$3)),DATE(2025,MATCH(UPPER($Q$10), {"JAN","FEB","MAR","APR","MAY","JUN","JUL","AUG","SEP","OCT","NOV","DEC"}, 0),(DAY($D15))),INDIRECT(_xlfn.CONCAT("'Order Tracker'!Q12:R",Data!$AM$3)))=0,"- -",SUMIF(INDIRECT(_xlfn.CONCAT("'Order Tracker'!E12:F",Data!$AM$3)),DATE(2025,MATCH(UPPER($Q$10), {"JAN","FEB","MAR","APR","MAY","JUN","JUL","AUG","SEP","OCT","NOV","DEC"}, 0),(DAY($D15))),INDIRECT(_xlfn.CONCAT("'Order Tracker'!Q12:R",Data!$AM$3))))</f>
        <v>- -</v>
      </c>
      <c r="R15" s="160" t="str">
        <f ca="1">IF(SUMIF(INDIRECT(_xlfn.CONCAT("'Order Tracker'!E12:F",Data!$AM$3)),DATE(2025,MATCH(UPPER($Q$10), {"JAN","FEB","MAR","APR","MAY","JUN","JUL","AUG","SEP","OCT","NOV","DEC"}, 0),(DAY($D15))),INDIRECT(_xlfn.CONCAT("'Order Tracker'!S12:T",Data!$AM$3)))=0,"- -",SUMIF(INDIRECT(_xlfn.CONCAT("'Order Tracker'!E12:F",Data!$AM$3)),DATE(2025,MATCH(UPPER($Q$10), {"JAN","FEB","MAR","APR","MAY","JUN","JUL","AUG","SEP","OCT","NOV","DEC"}, 0),(DAY($D15))),INDIRECT(_xlfn.CONCAT("'Order Tracker'!S12:T",Data!$AM$3))))</f>
        <v>- -</v>
      </c>
      <c r="S15" s="156">
        <f ca="1">IFERROR(Q15-R15,0)</f>
        <v>0</v>
      </c>
      <c r="T15" s="10"/>
      <c r="U15" s="160" t="str">
        <f ca="1">IF(SUMIF(INDIRECT(_xlfn.CONCAT("'Order Tracker'!E12:F",Data!$AM$3)),DATE(2025,MATCH(UPPER($U$10), {"JAN","FEB","MAR","APR","MAY","JUN","JUL","AUG","SEP","OCT","NOV","DEC"}, 0),(DAY($D15))),INDIRECT(_xlfn.CONCAT("'Order Tracker'!Q12:R",Data!$AM$3)))=0,"- -",SUMIF(INDIRECT(_xlfn.CONCAT("'Order Tracker'!E12:F",Data!$AM$3)),DATE(2025,MATCH(UPPER($U$10), {"JAN","FEB","MAR","APR","MAY","JUN","JUL","AUG","SEP","OCT","NOV","DEC"}, 0),(DAY($D15))),INDIRECT(_xlfn.CONCAT("'Order Tracker'!Q12:R",Data!$AM$3))))</f>
        <v>- -</v>
      </c>
      <c r="V15" s="160" t="str">
        <f ca="1">IF(SUMIF(INDIRECT(_xlfn.CONCAT("'Order Tracker'!E12:F",Data!$AM$3)),DATE(2025,MATCH(UPPER($U$10), {"JAN","FEB","MAR","APR","MAY","JUN","JUL","AUG","SEP","OCT","NOV","DEC"}, 0),(DAY($D15))),INDIRECT(_xlfn.CONCAT("'Order Tracker'!S12:T",Data!$AM$3)))=0,"- -",SUMIF(INDIRECT(_xlfn.CONCAT("'Order Tracker'!E12:F",Data!$AM$3)),DATE(2025,MATCH(UPPER($U$10), {"JAN","FEB","MAR","APR","MAY","JUN","JUL","AUG","SEP","OCT","NOV","DEC"}, 0),(DAY($D15))),INDIRECT(_xlfn.CONCAT("'Order Tracker'!S12:T",Data!$AM$3))))</f>
        <v>- -</v>
      </c>
      <c r="W15" s="156">
        <f ca="1">IFERROR(U15-V15,0)</f>
        <v>0</v>
      </c>
      <c r="X15" s="10"/>
      <c r="Y15" s="160" t="str">
        <f ca="1">IF(SUMIF(INDIRECT(_xlfn.CONCAT("'Order Tracker'!E12:F",Data!$AM$3)),DATE(2025,MATCH(UPPER($Y$10), {"JAN","FEB","MAR","APR","MAY","JUN","JUL","AUG","SEP","OCT","NOV","DEC"}, 0),(DAY($D15))),INDIRECT(_xlfn.CONCAT("'Order Tracker'!Q12:R",Data!$AM$3)))=0,"- -",SUMIF(INDIRECT(_xlfn.CONCAT("'Order Tracker'!E12:F",Data!$AM$3)),DATE(2025,MATCH(UPPER($Y$10), {"JAN","FEB","MAR","APR","MAY","JUN","JUL","AUG","SEP","OCT","NOV","DEC"}, 0),(DAY($D15))),INDIRECT(_xlfn.CONCAT("'Order Tracker'!Q12:R",Data!$AM$3))))</f>
        <v>- -</v>
      </c>
      <c r="Z15" s="160" t="str">
        <f ca="1">IF(SUMIF(INDIRECT(_xlfn.CONCAT("'Order Tracker'!E12:F",Data!$AM$3)),DATE(2025,MATCH(UPPER($Y$10), {"JAN","FEB","MAR","APR","MAY","JUN","JUL","AUG","SEP","OCT","NOV","DEC"}, 0),(DAY($D15))),INDIRECT(_xlfn.CONCAT("'Order Tracker'!S12:T",Data!$AM$3)))=0,"- -",SUMIF(INDIRECT(_xlfn.CONCAT("'Order Tracker'!E12:F",Data!$AM$3)),DATE(2025,MATCH(UPPER($Y$10), {"JAN","FEB","MAR","APR","MAY","JUN","JUL","AUG","SEP","OCT","NOV","DEC"}, 0),(DAY($D15))),INDIRECT(_xlfn.CONCAT("'Order Tracker'!S12:T",Data!$AM$3))))</f>
        <v>- -</v>
      </c>
      <c r="AA15" s="156">
        <f ca="1">IFERROR(Y15-Z15,0)</f>
        <v>0</v>
      </c>
      <c r="AB15" s="10"/>
      <c r="AC15" s="160" t="str">
        <f ca="1">IF(SUMIF(INDIRECT(_xlfn.CONCAT("'Order Tracker'!E12:F",Data!$AM$3)),DATE(2025,MATCH(UPPER($AC$10), {"JAN","FEB","MAR","APR","MAY","JUN","JUL","AUG","SEP","OCT","NOV","DEC"}, 0),(DAY($D15))),INDIRECT(_xlfn.CONCAT("'Order Tracker'!Q12:R",Data!$AM$3)))=0,"- -",SUMIF(INDIRECT(_xlfn.CONCAT("'Order Tracker'!E12:F",Data!$AM$3)),DATE(2025,MATCH(UPPER($AC$10), {"JAN","FEB","MAR","APR","MAY","JUN","JUL","AUG","SEP","OCT","NOV","DEC"}, 0),(DAY($D15))),INDIRECT(_xlfn.CONCAT("'Order Tracker'!Q12:R",Data!$AM$3))))</f>
        <v>- -</v>
      </c>
      <c r="AD15" s="160" t="str">
        <f ca="1">IF(SUMIF(INDIRECT(_xlfn.CONCAT("'Order Tracker'!E12:F",Data!$AM$3)),DATE(2025,MATCH(UPPER($AC$10), {"JAN","FEB","MAR","APR","MAY","JUN","JUL","AUG","SEP","OCT","NOV","DEC"}, 0),(DAY($D15))),INDIRECT(_xlfn.CONCAT("'Order Tracker'!S12:T",Data!$AM$3)))=0,"- -",SUMIF(INDIRECT(_xlfn.CONCAT("'Order Tracker'!E12:F",Data!$AM$3)),DATE(2025,MATCH(UPPER($AC$10), {"JAN","FEB","MAR","APR","MAY","JUN","JUL","AUG","SEP","OCT","NOV","DEC"}, 0),(DAY($D15))),INDIRECT(_xlfn.CONCAT("'Order Tracker'!S12:T",Data!$AM$3))))</f>
        <v>- -</v>
      </c>
      <c r="AE15" s="156">
        <f ca="1">IFERROR(AC15-AD15,0)</f>
        <v>0</v>
      </c>
      <c r="AF15" s="10"/>
      <c r="AG15" s="160" t="str">
        <f ca="1">IF(SUMIF(INDIRECT(_xlfn.CONCAT("'Order Tracker'!E12:F",Data!$AM$3)),DATE(2025,MATCH(UPPER($AG$10), {"JAN","FEB","MAR","APR","MAY","JUN","JUL","AUG","SEP","OCT","NOV","DEC"}, 0),(DAY($D15))),INDIRECT(_xlfn.CONCAT("'Order Tracker'!Q12:R",Data!$AM$3)))=0,"- -",SUMIF(INDIRECT(_xlfn.CONCAT("'Order Tracker'!E12:F",Data!$AM$3)),DATE(2025,MATCH(UPPER($AG$10), {"JAN","FEB","MAR","APR","MAY","JUN","JUL","AUG","SEP","OCT","NOV","DEC"}, 0),(DAY($D15))),INDIRECT(_xlfn.CONCAT("'Order Tracker'!Q12:R",Data!$AM$3))))</f>
        <v>- -</v>
      </c>
      <c r="AH15" s="160" t="str">
        <f ca="1">IF(SUMIF(INDIRECT(_xlfn.CONCAT("'Order Tracker'!E12:F",Data!$AM$3)),DATE(2025,MATCH(UPPER($AG$10), {"JAN","FEB","MAR","APR","MAY","JUN","JUL","AUG","SEP","OCT","NOV","DEC"}, 0),(DAY($D15))),INDIRECT(_xlfn.CONCAT("'Order Tracker'!S12:T",Data!$AM$3)))=0,"- -",SUMIF(INDIRECT(_xlfn.CONCAT("'Order Tracker'!E12:F",Data!$AM$3)),DATE(2025,MATCH(UPPER($AG$10), {"JAN","FEB","MAR","APR","MAY","JUN","JUL","AUG","SEP","OCT","NOV","DEC"}, 0),(DAY($D15))),INDIRECT(_xlfn.CONCAT("'Order Tracker'!S12:T",Data!$AM$3))))</f>
        <v>- -</v>
      </c>
      <c r="AI15" s="156">
        <f ca="1">IFERROR(AG15-AH15,0)</f>
        <v>0</v>
      </c>
      <c r="AJ15" s="10"/>
      <c r="AK15" s="160" t="str">
        <f ca="1">IF(SUMIF(INDIRECT(_xlfn.CONCAT("'Order Tracker'!E12:F",Data!$AM$3)),DATE(2025,MATCH(UPPER($AK$10), {"JAN","FEB","MAR","APR","MAY","JUN","JUL","AUG","SEP","OCT","NOV","DEC"}, 0),(DAY($D15))),INDIRECT(_xlfn.CONCAT("'Order Tracker'!Q12:R",Data!$AM$3)))=0,"- -",SUMIF(INDIRECT(_xlfn.CONCAT("'Order Tracker'!E12:F",Data!$AM$3)),DATE(2025,MATCH(UPPER($AK$10), {"JAN","FEB","MAR","APR","MAY","JUN","JUL","AUG","SEP","OCT","NOV","DEC"}, 0),(DAY($D15))),INDIRECT(_xlfn.CONCAT("'Order Tracker'!Q12:R",Data!$AM$3))))</f>
        <v>- -</v>
      </c>
      <c r="AL15" s="160" t="str">
        <f ca="1">IF(SUMIF(INDIRECT(_xlfn.CONCAT("'Order Tracker'!E12:F",Data!$AM$3)),DATE(2025,MATCH(UPPER($AK$10), {"JAN","FEB","MAR","APR","MAY","JUN","JUL","AUG","SEP","OCT","NOV","DEC"}, 0),(DAY($D15))),INDIRECT(_xlfn.CONCAT("'Order Tracker'!S12:T",Data!$AM$3)))=0,"- -",SUMIF(INDIRECT(_xlfn.CONCAT("'Order Tracker'!E12:F",Data!$AM$3)),DATE(2025,MATCH(UPPER($AK$10), {"JAN","FEB","MAR","APR","MAY","JUN","JUL","AUG","SEP","OCT","NOV","DEC"}, 0),(DAY($D15))),INDIRECT(_xlfn.CONCAT("'Order Tracker'!S12:T",Data!$AM$3))))</f>
        <v>- -</v>
      </c>
      <c r="AM15" s="156">
        <f ca="1">IFERROR(AK15-AL15,0)</f>
        <v>0</v>
      </c>
      <c r="AN15" s="10"/>
      <c r="AO15" s="160" t="str">
        <f ca="1">IF(SUMIF(INDIRECT(_xlfn.CONCAT("'Order Tracker'!E12:F",Data!$AM$3)),DATE(2025,MATCH(UPPER($AO$10), {"JAN","FEB","MAR","APR","MAY","JUN","JUL","AUG","SEP","OCT","NOV","DEC"}, 0),(DAY($D15))),INDIRECT(_xlfn.CONCAT("'Order Tracker'!Q12:R",Data!$AM$3)))=0,"- -",SUMIF(INDIRECT(_xlfn.CONCAT("'Order Tracker'!E12:F",Data!$AM$3)),DATE(2025,MATCH(UPPER($AO$10), {"JAN","FEB","MAR","APR","MAY","JUN","JUL","AUG","SEP","OCT","NOV","DEC"}, 0),(DAY($D15))),INDIRECT(_xlfn.CONCAT("'Order Tracker'!Q12:R",Data!$AM$3))))</f>
        <v>- -</v>
      </c>
      <c r="AP15" s="160" t="str">
        <f ca="1">IF(SUMIF(INDIRECT(_xlfn.CONCAT("'Order Tracker'!E12:F",Data!$AM$3)),DATE(2025,MATCH(UPPER($AO$10), {"JAN","FEB","MAR","APR","MAY","JUN","JUL","AUG","SEP","OCT","NOV","DEC"}, 0),(DAY($D15))),INDIRECT(_xlfn.CONCAT("'Order Tracker'!S12:T",Data!$AM$3)))=0,"- -",SUMIF(INDIRECT(_xlfn.CONCAT("'Order Tracker'!E12:F",Data!$AM$3)),DATE(2025,MATCH(UPPER($AO$10), {"JAN","FEB","MAR","APR","MAY","JUN","JUL","AUG","SEP","OCT","NOV","DEC"}, 0),(DAY($D15))),INDIRECT(_xlfn.CONCAT("'Order Tracker'!S12:T",Data!$AM$3))))</f>
        <v>- -</v>
      </c>
      <c r="AQ15" s="156">
        <f ca="1">IFERROR(AO15-AP15,0)</f>
        <v>0</v>
      </c>
      <c r="AR15" s="10"/>
      <c r="AS15" s="160" t="str">
        <f ca="1">IF(SUMIF(INDIRECT(_xlfn.CONCAT("'Order Tracker'!E12:F",Data!$AM$3)),DATE(2025,MATCH(UPPER($AS$10), {"JAN","FEB","MAR","APR","MAY","JUN","JUL","AUG","SEP","OCT","NOV","DEC"}, 0),(DAY($D15))),INDIRECT(_xlfn.CONCAT("'Order Tracker'!Q12:R",Data!$AM$3)))=0,"- -",SUMIF(INDIRECT(_xlfn.CONCAT("'Order Tracker'!E12:F",Data!$AM$3)),DATE(2025,MATCH(UPPER($AS$10), {"JAN","FEB","MAR","APR","MAY","JUN","JUL","AUG","SEP","OCT","NOV","DEC"}, 0),(DAY($D15))),INDIRECT(_xlfn.CONCAT("'Order Tracker'!Q12:R",Data!$AM$3))))</f>
        <v>- -</v>
      </c>
      <c r="AT15" s="160" t="str">
        <f ca="1">IF(SUMIF(INDIRECT(_xlfn.CONCAT("'Order Tracker'!E12:F",Data!$AM$3)),DATE(2025,MATCH(UPPER($AS$10), {"JAN","FEB","MAR","APR","MAY","JUN","JUL","AUG","SEP","OCT","NOV","DEC"}, 0),(DAY($D15))),INDIRECT(_xlfn.CONCAT("'Order Tracker'!S12:T",Data!$AM$3)))=0,"- -",SUMIF(INDIRECT(_xlfn.CONCAT("'Order Tracker'!E12:F",Data!$AM$3)),DATE(2025,MATCH(UPPER($AS$10), {"JAN","FEB","MAR","APR","MAY","JUN","JUL","AUG","SEP","OCT","NOV","DEC"}, 0),(DAY($D15))),INDIRECT(_xlfn.CONCAT("'Order Tracker'!S12:T",Data!$AM$3))))</f>
        <v>- -</v>
      </c>
      <c r="AU15" s="156">
        <f ca="1">IFERROR(AS15-AT15,0)</f>
        <v>0</v>
      </c>
      <c r="AV15" s="7"/>
      <c r="AW15" s="160" t="str">
        <f ca="1">IF(SUMIF(INDIRECT(_xlfn.CONCAT("'Order Tracker'!E12:F",Data!$AM$3)),DATE(2025,MATCH(UPPER($AW$10), {"JAN","FEB","MAR","APR","MAY","JUN","JUL","AUG","SEP","OCT","NOV","DEC"}, 0),(DAY($D15))),INDIRECT(_xlfn.CONCAT("'Order Tracker'!Q12:R",Data!$AM$3)))=0,"- -",SUMIF(INDIRECT(_xlfn.CONCAT("'Order Tracker'!E12:F",Data!$AM$3)),DATE(2025,MATCH(UPPER($AW$10), {"JAN","FEB","MAR","APR","MAY","JUN","JUL","AUG","SEP","OCT","NOV","DEC"}, 0),(DAY($D15))),INDIRECT(_xlfn.CONCAT("'Order Tracker'!Q12:R",Data!$AM$3))))</f>
        <v>- -</v>
      </c>
      <c r="AX15" s="160" t="str">
        <f ca="1">IF(SUMIF(INDIRECT(_xlfn.CONCAT("'Order Tracker'!E12:F",Data!$AM$3)),DATE(2025,MATCH(UPPER($AW$10), {"JAN","FEB","MAR","APR","MAY","JUN","JUL","AUG","SEP","OCT","NOV","DEC"}, 0),(DAY($D15))),INDIRECT(_xlfn.CONCAT("'Order Tracker'!S12:T",Data!$AM$3)))=0,"- -",SUMIF(INDIRECT(_xlfn.CONCAT("'Order Tracker'!E12:F",Data!$AM$3)),DATE(2025,MATCH(UPPER($AW$10), {"JAN","FEB","MAR","APR","MAY","JUN","JUL","AUG","SEP","OCT","NOV","DEC"}, 0),(DAY($D15))),INDIRECT(_xlfn.CONCAT("'Order Tracker'!S12:T",Data!$AM$3))))</f>
        <v>- -</v>
      </c>
      <c r="AY15" s="156">
        <f ca="1">IFERROR(AW15-AX15,0)</f>
        <v>0</v>
      </c>
      <c r="AZ15" s="109"/>
    </row>
    <row r="16" spans="1:52" ht="18" hidden="1" x14ac:dyDescent="0.2">
      <c r="D16" s="151">
        <v>3</v>
      </c>
      <c r="E16" s="160" t="str">
        <f ca="1">IF(SUMIF(INDIRECT(_xlfn.CONCAT("'Order Tracker'!E12:F",Data!$AM$3)),DATE(2025,MATCH(UPPER($E$10), {"JAN","FEB","MAR","APR","MAY","JUN","JUL","AUG","SEP","OCT","NOV","DEC"}, 0),(DAY($D16))),INDIRECT(_xlfn.CONCAT("'Order Tracker'!Q12:R",Data!$AM$3)))=0,"- -",SUMIF(INDIRECT(_xlfn.CONCAT("'Order Tracker'!E12:F",Data!$AM$3)),DATE(2025,MATCH(UPPER($E$10), {"JAN","FEB","MAR","APR","MAY","JUN","JUL","AUG","SEP","OCT","NOV","DEC"}, 0),(DAY($D16))),INDIRECT(_xlfn.CONCAT("'Order Tracker'!Q12:R",Data!$AM$3))))</f>
        <v>- -</v>
      </c>
      <c r="F16" s="160" t="str">
        <f ca="1">IF(SUMIF(INDIRECT(_xlfn.CONCAT("'Order Tracker'!E12:F",Data!$AM$3)),DATE(2025,MATCH(UPPER($E$10), {"JAN","FEB","MAR","APR","MAY","JUN","JUL","AUG","SEP","OCT","NOV","DEC"}, 0),(DAY($D16))),INDIRECT(_xlfn.CONCAT("'Order Tracker'!S12:T",Data!$AM$3)))=0,"- -",SUMIF(INDIRECT(_xlfn.CONCAT("'Order Tracker'!E12:F",Data!$AM$3)),DATE(2025,MATCH(UPPER($E$10), {"JAN","FEB","MAR","APR","MAY","JUN","JUL","AUG","SEP","OCT","NOV","DEC"}, 0),(DAY($D16))),INDIRECT(_xlfn.CONCAT("'Order Tracker'!S12:T",Data!$AM$3))))</f>
        <v>- -</v>
      </c>
      <c r="G16" s="156">
        <f t="shared" ref="G16:G44" ca="1" si="0">IFERROR(E16-F16,0)</f>
        <v>0</v>
      </c>
      <c r="H16" s="10"/>
      <c r="I16" s="160" t="str">
        <f ca="1">IF(SUMIF(INDIRECT(_xlfn.CONCAT("'Order Tracker'!E12:F",Data!$AM$3)),DATE(2025,MATCH(UPPER($I$10), {"JAN","FEB","MAR","APR","MAY","JUN","JUL","AUG","SEP","OCT","NOV","DEC"}, 0),(DAY($D16))),INDIRECT(_xlfn.CONCAT("'Order Tracker'!Q12:R",Data!$AM$3)))=0,"- -",SUMIF(INDIRECT(_xlfn.CONCAT("'Order Tracker'!E12:F",Data!$AM$3)),DATE(2025,MATCH(UPPER($I$10), {"JAN","FEB","MAR","APR","MAY","JUN","JUL","AUG","SEP","OCT","NOV","DEC"}, 0),(DAY($D16))),INDIRECT(_xlfn.CONCAT("'Order Tracker'!Q12:R",Data!$AM$3))))</f>
        <v>- -</v>
      </c>
      <c r="J16" s="160" t="str">
        <f ca="1">IF(SUMIF(INDIRECT(_xlfn.CONCAT("'Order Tracker'!E12:F",Data!$AM$3)),DATE(2025,MATCH(UPPER($I$10), {"JAN","FEB","MAR","APR","MAY","JUN","JUL","AUG","SEP","OCT","NOV","DEC"}, 0),(DAY($D16))),INDIRECT(_xlfn.CONCAT("'Order Tracker'!S12:T",Data!$AM$3)))=0,"- -",SUMIF(INDIRECT(_xlfn.CONCAT("'Order Tracker'!E12:F",Data!$AM$3)),DATE(2025,MATCH(UPPER($I$10), {"JAN","FEB","MAR","APR","MAY","JUN","JUL","AUG","SEP","OCT","NOV","DEC"}, 0),(DAY($D16))),INDIRECT(_xlfn.CONCAT("'Order Tracker'!S12:T",Data!$AM$3))))</f>
        <v>- -</v>
      </c>
      <c r="K16" s="156">
        <f t="shared" ref="K16:K44" ca="1" si="1">IFERROR(I16-J16,0)</f>
        <v>0</v>
      </c>
      <c r="L16" s="10"/>
      <c r="M16" s="160" t="str">
        <f ca="1">IF(SUMIF(INDIRECT(_xlfn.CONCAT("'Order Tracker'!E12:F",Data!$AM$3)),DATE(2025,MATCH(UPPER($M$10), {"JAN","FEB","MAR","APR","MAY","JUN","JUL","AUG","SEP","OCT","NOV","DEC"}, 0),(DAY($D16))),INDIRECT(_xlfn.CONCAT("'Order Tracker'!Q12:R",Data!$AM$3)))=0,"- -",SUMIF(INDIRECT(_xlfn.CONCAT("'Order Tracker'!E12:F",Data!$AM$3)),DATE(2025,MATCH(UPPER($M$10), {"JAN","FEB","MAR","APR","MAY","JUN","JUL","AUG","SEP","OCT","NOV","DEC"}, 0),(DAY($D16))),INDIRECT(_xlfn.CONCAT("'Order Tracker'!Q12:R",Data!$AM$3))))</f>
        <v>- -</v>
      </c>
      <c r="N16" s="160" t="str">
        <f ca="1">IF(SUMIF(INDIRECT(_xlfn.CONCAT("'Order Tracker'!E12:F",Data!$AM$3)),DATE(2025,MATCH(UPPER($M$10), {"JAN","FEB","MAR","APR","MAY","JUN","JUL","AUG","SEP","OCT","NOV","DEC"}, 0),(DAY($D16))),INDIRECT(_xlfn.CONCAT("'Order Tracker'!S12:T",Data!$AM$3)))=0,"- -",SUMIF(INDIRECT(_xlfn.CONCAT("'Order Tracker'!E12:F",Data!$AM$3)),DATE(2025,MATCH(UPPER($M$10), {"JAN","FEB","MAR","APR","MAY","JUN","JUL","AUG","SEP","OCT","NOV","DEC"}, 0),(DAY($D16))),INDIRECT(_xlfn.CONCAT("'Order Tracker'!S12:T",Data!$AM$3))))</f>
        <v>- -</v>
      </c>
      <c r="O16" s="156">
        <f t="shared" ref="O16:O44" ca="1" si="2">IFERROR(M16-N16,0)</f>
        <v>0</v>
      </c>
      <c r="P16" s="10"/>
      <c r="Q16" s="160" t="str">
        <f ca="1">IF(SUMIF(INDIRECT(_xlfn.CONCAT("'Order Tracker'!E12:F",Data!$AM$3)),DATE(2025,MATCH(UPPER($Q$10), {"JAN","FEB","MAR","APR","MAY","JUN","JUL","AUG","SEP","OCT","NOV","DEC"}, 0),(DAY($D16))),INDIRECT(_xlfn.CONCAT("'Order Tracker'!Q12:R",Data!$AM$3)))=0,"- -",SUMIF(INDIRECT(_xlfn.CONCAT("'Order Tracker'!E12:F",Data!$AM$3)),DATE(2025,MATCH(UPPER($Q$10), {"JAN","FEB","MAR","APR","MAY","JUN","JUL","AUG","SEP","OCT","NOV","DEC"}, 0),(DAY($D16))),INDIRECT(_xlfn.CONCAT("'Order Tracker'!Q12:R",Data!$AM$3))))</f>
        <v>- -</v>
      </c>
      <c r="R16" s="160" t="str">
        <f ca="1">IF(SUMIF(INDIRECT(_xlfn.CONCAT("'Order Tracker'!E12:F",Data!$AM$3)),DATE(2025,MATCH(UPPER($Q$10), {"JAN","FEB","MAR","APR","MAY","JUN","JUL","AUG","SEP","OCT","NOV","DEC"}, 0),(DAY($D16))),INDIRECT(_xlfn.CONCAT("'Order Tracker'!S12:T",Data!$AM$3)))=0,"- -",SUMIF(INDIRECT(_xlfn.CONCAT("'Order Tracker'!E12:F",Data!$AM$3)),DATE(2025,MATCH(UPPER($Q$10), {"JAN","FEB","MAR","APR","MAY","JUN","JUL","AUG","SEP","OCT","NOV","DEC"}, 0),(DAY($D16))),INDIRECT(_xlfn.CONCAT("'Order Tracker'!S12:T",Data!$AM$3))))</f>
        <v>- -</v>
      </c>
      <c r="S16" s="156">
        <f t="shared" ref="S16:S44" ca="1" si="3">IFERROR(Q16-R16,0)</f>
        <v>0</v>
      </c>
      <c r="T16" s="10"/>
      <c r="U16" s="160" t="str">
        <f ca="1">IF(SUMIF(INDIRECT(_xlfn.CONCAT("'Order Tracker'!E12:F",Data!$AM$3)),DATE(2025,MATCH(UPPER($U$10), {"JAN","FEB","MAR","APR","MAY","JUN","JUL","AUG","SEP","OCT","NOV","DEC"}, 0),(DAY($D16))),INDIRECT(_xlfn.CONCAT("'Order Tracker'!Q12:R",Data!$AM$3)))=0,"- -",SUMIF(INDIRECT(_xlfn.CONCAT("'Order Tracker'!E12:F",Data!$AM$3)),DATE(2025,MATCH(UPPER($U$10), {"JAN","FEB","MAR","APR","MAY","JUN","JUL","AUG","SEP","OCT","NOV","DEC"}, 0),(DAY($D16))),INDIRECT(_xlfn.CONCAT("'Order Tracker'!Q12:R",Data!$AM$3))))</f>
        <v>- -</v>
      </c>
      <c r="V16" s="160" t="str">
        <f ca="1">IF(SUMIF(INDIRECT(_xlfn.CONCAT("'Order Tracker'!E12:F",Data!$AM$3)),DATE(2025,MATCH(UPPER($U$10), {"JAN","FEB","MAR","APR","MAY","JUN","JUL","AUG","SEP","OCT","NOV","DEC"}, 0),(DAY($D16))),INDIRECT(_xlfn.CONCAT("'Order Tracker'!S12:T",Data!$AM$3)))=0,"- -",SUMIF(INDIRECT(_xlfn.CONCAT("'Order Tracker'!E12:F",Data!$AM$3)),DATE(2025,MATCH(UPPER($U$10), {"JAN","FEB","MAR","APR","MAY","JUN","JUL","AUG","SEP","OCT","NOV","DEC"}, 0),(DAY($D16))),INDIRECT(_xlfn.CONCAT("'Order Tracker'!S12:T",Data!$AM$3))))</f>
        <v>- -</v>
      </c>
      <c r="W16" s="156">
        <f t="shared" ref="W16:W44" ca="1" si="4">IFERROR(U16-V16,0)</f>
        <v>0</v>
      </c>
      <c r="X16" s="10"/>
      <c r="Y16" s="160" t="str">
        <f ca="1">IF(SUMIF(INDIRECT(_xlfn.CONCAT("'Order Tracker'!E12:F",Data!$AM$3)),DATE(2025,MATCH(UPPER($Y$10), {"JAN","FEB","MAR","APR","MAY","JUN","JUL","AUG","SEP","OCT","NOV","DEC"}, 0),(DAY($D16))),INDIRECT(_xlfn.CONCAT("'Order Tracker'!Q12:R",Data!$AM$3)))=0,"- -",SUMIF(INDIRECT(_xlfn.CONCAT("'Order Tracker'!E12:F",Data!$AM$3)),DATE(2025,MATCH(UPPER($Y$10), {"JAN","FEB","MAR","APR","MAY","JUN","JUL","AUG","SEP","OCT","NOV","DEC"}, 0),(DAY($D16))),INDIRECT(_xlfn.CONCAT("'Order Tracker'!Q12:R",Data!$AM$3))))</f>
        <v>- -</v>
      </c>
      <c r="Z16" s="160" t="str">
        <f ca="1">IF(SUMIF(INDIRECT(_xlfn.CONCAT("'Order Tracker'!E12:F",Data!$AM$3)),DATE(2025,MATCH(UPPER($Y$10), {"JAN","FEB","MAR","APR","MAY","JUN","JUL","AUG","SEP","OCT","NOV","DEC"}, 0),(DAY($D16))),INDIRECT(_xlfn.CONCAT("'Order Tracker'!S12:T",Data!$AM$3)))=0,"- -",SUMIF(INDIRECT(_xlfn.CONCAT("'Order Tracker'!E12:F",Data!$AM$3)),DATE(2025,MATCH(UPPER($Y$10), {"JAN","FEB","MAR","APR","MAY","JUN","JUL","AUG","SEP","OCT","NOV","DEC"}, 0),(DAY($D16))),INDIRECT(_xlfn.CONCAT("'Order Tracker'!S12:T",Data!$AM$3))))</f>
        <v>- -</v>
      </c>
      <c r="AA16" s="156">
        <f t="shared" ref="AA16:AA44" ca="1" si="5">IFERROR(Y16-Z16,0)</f>
        <v>0</v>
      </c>
      <c r="AB16" s="10"/>
      <c r="AC16" s="160" t="str">
        <f ca="1">IF(SUMIF(INDIRECT(_xlfn.CONCAT("'Order Tracker'!E12:F",Data!$AM$3)),DATE(2025,MATCH(UPPER($AC$10), {"JAN","FEB","MAR","APR","MAY","JUN","JUL","AUG","SEP","OCT","NOV","DEC"}, 0),(DAY($D16))),INDIRECT(_xlfn.CONCAT("'Order Tracker'!Q12:R",Data!$AM$3)))=0,"- -",SUMIF(INDIRECT(_xlfn.CONCAT("'Order Tracker'!E12:F",Data!$AM$3)),DATE(2025,MATCH(UPPER($AC$10), {"JAN","FEB","MAR","APR","MAY","JUN","JUL","AUG","SEP","OCT","NOV","DEC"}, 0),(DAY($D16))),INDIRECT(_xlfn.CONCAT("'Order Tracker'!Q12:R",Data!$AM$3))))</f>
        <v>- -</v>
      </c>
      <c r="AD16" s="160" t="str">
        <f ca="1">IF(SUMIF(INDIRECT(_xlfn.CONCAT("'Order Tracker'!E12:F",Data!$AM$3)),DATE(2025,MATCH(UPPER($AC$10), {"JAN","FEB","MAR","APR","MAY","JUN","JUL","AUG","SEP","OCT","NOV","DEC"}, 0),(DAY($D16))),INDIRECT(_xlfn.CONCAT("'Order Tracker'!S12:T",Data!$AM$3)))=0,"- -",SUMIF(INDIRECT(_xlfn.CONCAT("'Order Tracker'!E12:F",Data!$AM$3)),DATE(2025,MATCH(UPPER($AC$10), {"JAN","FEB","MAR","APR","MAY","JUN","JUL","AUG","SEP","OCT","NOV","DEC"}, 0),(DAY($D16))),INDIRECT(_xlfn.CONCAT("'Order Tracker'!S12:T",Data!$AM$3))))</f>
        <v>- -</v>
      </c>
      <c r="AE16" s="156">
        <f t="shared" ref="AE16:AE44" ca="1" si="6">IFERROR(AC16-AD16,0)</f>
        <v>0</v>
      </c>
      <c r="AF16" s="10"/>
      <c r="AG16" s="160" t="str">
        <f ca="1">IF(SUMIF(INDIRECT(_xlfn.CONCAT("'Order Tracker'!E12:F",Data!$AM$3)),DATE(2025,MATCH(UPPER($AG$10), {"JAN","FEB","MAR","APR","MAY","JUN","JUL","AUG","SEP","OCT","NOV","DEC"}, 0),(DAY($D16))),INDIRECT(_xlfn.CONCAT("'Order Tracker'!Q12:R",Data!$AM$3)))=0,"- -",SUMIF(INDIRECT(_xlfn.CONCAT("'Order Tracker'!E12:F",Data!$AM$3)),DATE(2025,MATCH(UPPER($AG$10), {"JAN","FEB","MAR","APR","MAY","JUN","JUL","AUG","SEP","OCT","NOV","DEC"}, 0),(DAY($D16))),INDIRECT(_xlfn.CONCAT("'Order Tracker'!Q12:R",Data!$AM$3))))</f>
        <v>- -</v>
      </c>
      <c r="AH16" s="160" t="str">
        <f ca="1">IF(SUMIF(INDIRECT(_xlfn.CONCAT("'Order Tracker'!E12:F",Data!$AM$3)),DATE(2025,MATCH(UPPER($AG$10), {"JAN","FEB","MAR","APR","MAY","JUN","JUL","AUG","SEP","OCT","NOV","DEC"}, 0),(DAY($D16))),INDIRECT(_xlfn.CONCAT("'Order Tracker'!S12:T",Data!$AM$3)))=0,"- -",SUMIF(INDIRECT(_xlfn.CONCAT("'Order Tracker'!E12:F",Data!$AM$3)),DATE(2025,MATCH(UPPER($AG$10), {"JAN","FEB","MAR","APR","MAY","JUN","JUL","AUG","SEP","OCT","NOV","DEC"}, 0),(DAY($D16))),INDIRECT(_xlfn.CONCAT("'Order Tracker'!S12:T",Data!$AM$3))))</f>
        <v>- -</v>
      </c>
      <c r="AI16" s="156">
        <f t="shared" ref="AI16:AI44" ca="1" si="7">IFERROR(AG16-AH16,0)</f>
        <v>0</v>
      </c>
      <c r="AJ16" s="10"/>
      <c r="AK16" s="160" t="str">
        <f ca="1">IF(SUMIF(INDIRECT(_xlfn.CONCAT("'Order Tracker'!E12:F",Data!$AM$3)),DATE(2025,MATCH(UPPER($AK$10), {"JAN","FEB","MAR","APR","MAY","JUN","JUL","AUG","SEP","OCT","NOV","DEC"}, 0),(DAY($D16))),INDIRECT(_xlfn.CONCAT("'Order Tracker'!Q12:R",Data!$AM$3)))=0,"- -",SUMIF(INDIRECT(_xlfn.CONCAT("'Order Tracker'!E12:F",Data!$AM$3)),DATE(2025,MATCH(UPPER($AK$10), {"JAN","FEB","MAR","APR","MAY","JUN","JUL","AUG","SEP","OCT","NOV","DEC"}, 0),(DAY($D16))),INDIRECT(_xlfn.CONCAT("'Order Tracker'!Q12:R",Data!$AM$3))))</f>
        <v>- -</v>
      </c>
      <c r="AL16" s="160" t="str">
        <f ca="1">IF(SUMIF(INDIRECT(_xlfn.CONCAT("'Order Tracker'!E12:F",Data!$AM$3)),DATE(2025,MATCH(UPPER($AK$10), {"JAN","FEB","MAR","APR","MAY","JUN","JUL","AUG","SEP","OCT","NOV","DEC"}, 0),(DAY($D16))),INDIRECT(_xlfn.CONCAT("'Order Tracker'!S12:T",Data!$AM$3)))=0,"- -",SUMIF(INDIRECT(_xlfn.CONCAT("'Order Tracker'!E12:F",Data!$AM$3)),DATE(2025,MATCH(UPPER($AK$10), {"JAN","FEB","MAR","APR","MAY","JUN","JUL","AUG","SEP","OCT","NOV","DEC"}, 0),(DAY($D16))),INDIRECT(_xlfn.CONCAT("'Order Tracker'!S12:T",Data!$AM$3))))</f>
        <v>- -</v>
      </c>
      <c r="AM16" s="156">
        <f t="shared" ref="AM16:AM44" ca="1" si="8">IFERROR(AK16-AL16,0)</f>
        <v>0</v>
      </c>
      <c r="AN16" s="10"/>
      <c r="AO16" s="160" t="str">
        <f ca="1">IF(SUMIF(INDIRECT(_xlfn.CONCAT("'Order Tracker'!E12:F",Data!$AM$3)),DATE(2025,MATCH(UPPER($AO$10), {"JAN","FEB","MAR","APR","MAY","JUN","JUL","AUG","SEP","OCT","NOV","DEC"}, 0),(DAY($D16))),INDIRECT(_xlfn.CONCAT("'Order Tracker'!Q12:R",Data!$AM$3)))=0,"- -",SUMIF(INDIRECT(_xlfn.CONCAT("'Order Tracker'!E12:F",Data!$AM$3)),DATE(2025,MATCH(UPPER($AO$10), {"JAN","FEB","MAR","APR","MAY","JUN","JUL","AUG","SEP","OCT","NOV","DEC"}, 0),(DAY($D16))),INDIRECT(_xlfn.CONCAT("'Order Tracker'!Q12:R",Data!$AM$3))))</f>
        <v>- -</v>
      </c>
      <c r="AP16" s="160" t="str">
        <f ca="1">IF(SUMIF(INDIRECT(_xlfn.CONCAT("'Order Tracker'!E12:F",Data!$AM$3)),DATE(2025,MATCH(UPPER($AO$10), {"JAN","FEB","MAR","APR","MAY","JUN","JUL","AUG","SEP","OCT","NOV","DEC"}, 0),(DAY($D16))),INDIRECT(_xlfn.CONCAT("'Order Tracker'!S12:T",Data!$AM$3)))=0,"- -",SUMIF(INDIRECT(_xlfn.CONCAT("'Order Tracker'!E12:F",Data!$AM$3)),DATE(2025,MATCH(UPPER($AO$10), {"JAN","FEB","MAR","APR","MAY","JUN","JUL","AUG","SEP","OCT","NOV","DEC"}, 0),(DAY($D16))),INDIRECT(_xlfn.CONCAT("'Order Tracker'!S12:T",Data!$AM$3))))</f>
        <v>- -</v>
      </c>
      <c r="AQ16" s="156">
        <f t="shared" ref="AQ16:AQ44" ca="1" si="9">IFERROR(AO16-AP16,0)</f>
        <v>0</v>
      </c>
      <c r="AR16" s="10"/>
      <c r="AS16" s="160" t="str">
        <f ca="1">IF(SUMIF(INDIRECT(_xlfn.CONCAT("'Order Tracker'!E12:F",Data!$AM$3)),DATE(2025,MATCH(UPPER($AS$10), {"JAN","FEB","MAR","APR","MAY","JUN","JUL","AUG","SEP","OCT","NOV","DEC"}, 0),(DAY($D16))),INDIRECT(_xlfn.CONCAT("'Order Tracker'!Q12:R",Data!$AM$3)))=0,"- -",SUMIF(INDIRECT(_xlfn.CONCAT("'Order Tracker'!E12:F",Data!$AM$3)),DATE(2025,MATCH(UPPER($AS$10), {"JAN","FEB","MAR","APR","MAY","JUN","JUL","AUG","SEP","OCT","NOV","DEC"}, 0),(DAY($D16))),INDIRECT(_xlfn.CONCAT("'Order Tracker'!Q12:R",Data!$AM$3))))</f>
        <v>- -</v>
      </c>
      <c r="AT16" s="160" t="str">
        <f ca="1">IF(SUMIF(INDIRECT(_xlfn.CONCAT("'Order Tracker'!E12:F",Data!$AM$3)),DATE(2025,MATCH(UPPER($AS$10), {"JAN","FEB","MAR","APR","MAY","JUN","JUL","AUG","SEP","OCT","NOV","DEC"}, 0),(DAY($D16))),INDIRECT(_xlfn.CONCAT("'Order Tracker'!S12:T",Data!$AM$3)))=0,"- -",SUMIF(INDIRECT(_xlfn.CONCAT("'Order Tracker'!E12:F",Data!$AM$3)),DATE(2025,MATCH(UPPER($AS$10), {"JAN","FEB","MAR","APR","MAY","JUN","JUL","AUG","SEP","OCT","NOV","DEC"}, 0),(DAY($D16))),INDIRECT(_xlfn.CONCAT("'Order Tracker'!S12:T",Data!$AM$3))))</f>
        <v>- -</v>
      </c>
      <c r="AU16" s="156">
        <f t="shared" ref="AU16:AU44" ca="1" si="10">IFERROR(AS16-AT16,0)</f>
        <v>0</v>
      </c>
      <c r="AV16" s="7"/>
      <c r="AW16" s="160" t="str">
        <f ca="1">IF(SUMIF(INDIRECT(_xlfn.CONCAT("'Order Tracker'!E12:F",Data!$AM$3)),DATE(2025,MATCH(UPPER($AW$10), {"JAN","FEB","MAR","APR","MAY","JUN","JUL","AUG","SEP","OCT","NOV","DEC"}, 0),(DAY($D16))),INDIRECT(_xlfn.CONCAT("'Order Tracker'!Q12:R",Data!$AM$3)))=0,"- -",SUMIF(INDIRECT(_xlfn.CONCAT("'Order Tracker'!E12:F",Data!$AM$3)),DATE(2025,MATCH(UPPER($AW$10), {"JAN","FEB","MAR","APR","MAY","JUN","JUL","AUG","SEP","OCT","NOV","DEC"}, 0),(DAY($D16))),INDIRECT(_xlfn.CONCAT("'Order Tracker'!Q12:R",Data!$AM$3))))</f>
        <v>- -</v>
      </c>
      <c r="AX16" s="160" t="str">
        <f ca="1">IF(SUMIF(INDIRECT(_xlfn.CONCAT("'Order Tracker'!E12:F",Data!$AM$3)),DATE(2025,MATCH(UPPER($AW$10), {"JAN","FEB","MAR","APR","MAY","JUN","JUL","AUG","SEP","OCT","NOV","DEC"}, 0),(DAY($D16))),INDIRECT(_xlfn.CONCAT("'Order Tracker'!S12:T",Data!$AM$3)))=0,"- -",SUMIF(INDIRECT(_xlfn.CONCAT("'Order Tracker'!E12:F",Data!$AM$3)),DATE(2025,MATCH(UPPER($AW$10), {"JAN","FEB","MAR","APR","MAY","JUN","JUL","AUG","SEP","OCT","NOV","DEC"}, 0),(DAY($D16))),INDIRECT(_xlfn.CONCAT("'Order Tracker'!S12:T",Data!$AM$3))))</f>
        <v>- -</v>
      </c>
      <c r="AY16" s="156">
        <f t="shared" ref="AY16:AY44" ca="1" si="11">IFERROR(AW16-AX16,0)</f>
        <v>0</v>
      </c>
      <c r="AZ16" s="109"/>
    </row>
    <row r="17" spans="4:52" ht="18" hidden="1" x14ac:dyDescent="0.2">
      <c r="D17" s="151">
        <v>4</v>
      </c>
      <c r="E17" s="160" t="str">
        <f ca="1">IF(SUMIF(INDIRECT(_xlfn.CONCAT("'Order Tracker'!E12:F",Data!$AM$3)),DATE(2025,MATCH(UPPER($E$10), {"JAN","FEB","MAR","APR","MAY","JUN","JUL","AUG","SEP","OCT","NOV","DEC"}, 0),(DAY($D17))),INDIRECT(_xlfn.CONCAT("'Order Tracker'!Q12:R",Data!$AM$3)))=0,"- -",SUMIF(INDIRECT(_xlfn.CONCAT("'Order Tracker'!E12:F",Data!$AM$3)),DATE(2025,MATCH(UPPER($E$10), {"JAN","FEB","MAR","APR","MAY","JUN","JUL","AUG","SEP","OCT","NOV","DEC"}, 0),(DAY($D17))),INDIRECT(_xlfn.CONCAT("'Order Tracker'!Q12:R",Data!$AM$3))))</f>
        <v>- -</v>
      </c>
      <c r="F17" s="160" t="str">
        <f ca="1">IF(SUMIF(INDIRECT(_xlfn.CONCAT("'Order Tracker'!E12:F",Data!$AM$3)),DATE(2025,MATCH(UPPER($E$10), {"JAN","FEB","MAR","APR","MAY","JUN","JUL","AUG","SEP","OCT","NOV","DEC"}, 0),(DAY($D17))),INDIRECT(_xlfn.CONCAT("'Order Tracker'!S12:T",Data!$AM$3)))=0,"- -",SUMIF(INDIRECT(_xlfn.CONCAT("'Order Tracker'!E12:F",Data!$AM$3)),DATE(2025,MATCH(UPPER($E$10), {"JAN","FEB","MAR","APR","MAY","JUN","JUL","AUG","SEP","OCT","NOV","DEC"}, 0),(DAY($D17))),INDIRECT(_xlfn.CONCAT("'Order Tracker'!S12:T",Data!$AM$3))))</f>
        <v>- -</v>
      </c>
      <c r="G17" s="156">
        <f t="shared" ca="1" si="0"/>
        <v>0</v>
      </c>
      <c r="H17" s="10"/>
      <c r="I17" s="160" t="str">
        <f ca="1">IF(SUMIF(INDIRECT(_xlfn.CONCAT("'Order Tracker'!E12:F",Data!$AM$3)),DATE(2025,MATCH(UPPER($I$10), {"JAN","FEB","MAR","APR","MAY","JUN","JUL","AUG","SEP","OCT","NOV","DEC"}, 0),(DAY($D17))),INDIRECT(_xlfn.CONCAT("'Order Tracker'!Q12:R",Data!$AM$3)))=0,"- -",SUMIF(INDIRECT(_xlfn.CONCAT("'Order Tracker'!E12:F",Data!$AM$3)),DATE(2025,MATCH(UPPER($I$10), {"JAN","FEB","MAR","APR","MAY","JUN","JUL","AUG","SEP","OCT","NOV","DEC"}, 0),(DAY($D17))),INDIRECT(_xlfn.CONCAT("'Order Tracker'!Q12:R",Data!$AM$3))))</f>
        <v>- -</v>
      </c>
      <c r="J17" s="160" t="str">
        <f ca="1">IF(SUMIF(INDIRECT(_xlfn.CONCAT("'Order Tracker'!E12:F",Data!$AM$3)),DATE(2025,MATCH(UPPER($I$10), {"JAN","FEB","MAR","APR","MAY","JUN","JUL","AUG","SEP","OCT","NOV","DEC"}, 0),(DAY($D17))),INDIRECT(_xlfn.CONCAT("'Order Tracker'!S12:T",Data!$AM$3)))=0,"- -",SUMIF(INDIRECT(_xlfn.CONCAT("'Order Tracker'!E12:F",Data!$AM$3)),DATE(2025,MATCH(UPPER($I$10), {"JAN","FEB","MAR","APR","MAY","JUN","JUL","AUG","SEP","OCT","NOV","DEC"}, 0),(DAY($D17))),INDIRECT(_xlfn.CONCAT("'Order Tracker'!S12:T",Data!$AM$3))))</f>
        <v>- -</v>
      </c>
      <c r="K17" s="156">
        <f t="shared" ca="1" si="1"/>
        <v>0</v>
      </c>
      <c r="L17" s="10"/>
      <c r="M17" s="160" t="str">
        <f ca="1">IF(SUMIF(INDIRECT(_xlfn.CONCAT("'Order Tracker'!E12:F",Data!$AM$3)),DATE(2025,MATCH(UPPER($M$10), {"JAN","FEB","MAR","APR","MAY","JUN","JUL","AUG","SEP","OCT","NOV","DEC"}, 0),(DAY($D17))),INDIRECT(_xlfn.CONCAT("'Order Tracker'!Q12:R",Data!$AM$3)))=0,"- -",SUMIF(INDIRECT(_xlfn.CONCAT("'Order Tracker'!E12:F",Data!$AM$3)),DATE(2025,MATCH(UPPER($M$10), {"JAN","FEB","MAR","APR","MAY","JUN","JUL","AUG","SEP","OCT","NOV","DEC"}, 0),(DAY($D17))),INDIRECT(_xlfn.CONCAT("'Order Tracker'!Q12:R",Data!$AM$3))))</f>
        <v>- -</v>
      </c>
      <c r="N17" s="160" t="str">
        <f ca="1">IF(SUMIF(INDIRECT(_xlfn.CONCAT("'Order Tracker'!E12:F",Data!$AM$3)),DATE(2025,MATCH(UPPER($M$10), {"JAN","FEB","MAR","APR","MAY","JUN","JUL","AUG","SEP","OCT","NOV","DEC"}, 0),(DAY($D17))),INDIRECT(_xlfn.CONCAT("'Order Tracker'!S12:T",Data!$AM$3)))=0,"- -",SUMIF(INDIRECT(_xlfn.CONCAT("'Order Tracker'!E12:F",Data!$AM$3)),DATE(2025,MATCH(UPPER($M$10), {"JAN","FEB","MAR","APR","MAY","JUN","JUL","AUG","SEP","OCT","NOV","DEC"}, 0),(DAY($D17))),INDIRECT(_xlfn.CONCAT("'Order Tracker'!S12:T",Data!$AM$3))))</f>
        <v>- -</v>
      </c>
      <c r="O17" s="156">
        <f t="shared" ca="1" si="2"/>
        <v>0</v>
      </c>
      <c r="P17" s="10"/>
      <c r="Q17" s="160" t="str">
        <f ca="1">IF(SUMIF(INDIRECT(_xlfn.CONCAT("'Order Tracker'!E12:F",Data!$AM$3)),DATE(2025,MATCH(UPPER($Q$10), {"JAN","FEB","MAR","APR","MAY","JUN","JUL","AUG","SEP","OCT","NOV","DEC"}, 0),(DAY($D17))),INDIRECT(_xlfn.CONCAT("'Order Tracker'!Q12:R",Data!$AM$3)))=0,"- -",SUMIF(INDIRECT(_xlfn.CONCAT("'Order Tracker'!E12:F",Data!$AM$3)),DATE(2025,MATCH(UPPER($Q$10), {"JAN","FEB","MAR","APR","MAY","JUN","JUL","AUG","SEP","OCT","NOV","DEC"}, 0),(DAY($D17))),INDIRECT(_xlfn.CONCAT("'Order Tracker'!Q12:R",Data!$AM$3))))</f>
        <v>- -</v>
      </c>
      <c r="R17" s="160" t="str">
        <f ca="1">IF(SUMIF(INDIRECT(_xlfn.CONCAT("'Order Tracker'!E12:F",Data!$AM$3)),DATE(2025,MATCH(UPPER($Q$10), {"JAN","FEB","MAR","APR","MAY","JUN","JUL","AUG","SEP","OCT","NOV","DEC"}, 0),(DAY($D17))),INDIRECT(_xlfn.CONCAT("'Order Tracker'!S12:T",Data!$AM$3)))=0,"- -",SUMIF(INDIRECT(_xlfn.CONCAT("'Order Tracker'!E12:F",Data!$AM$3)),DATE(2025,MATCH(UPPER($Q$10), {"JAN","FEB","MAR","APR","MAY","JUN","JUL","AUG","SEP","OCT","NOV","DEC"}, 0),(DAY($D17))),INDIRECT(_xlfn.CONCAT("'Order Tracker'!S12:T",Data!$AM$3))))</f>
        <v>- -</v>
      </c>
      <c r="S17" s="156">
        <f t="shared" ca="1" si="3"/>
        <v>0</v>
      </c>
      <c r="T17" s="10"/>
      <c r="U17" s="160" t="str">
        <f ca="1">IF(SUMIF(INDIRECT(_xlfn.CONCAT("'Order Tracker'!E12:F",Data!$AM$3)),DATE(2025,MATCH(UPPER($U$10), {"JAN","FEB","MAR","APR","MAY","JUN","JUL","AUG","SEP","OCT","NOV","DEC"}, 0),(DAY($D17))),INDIRECT(_xlfn.CONCAT("'Order Tracker'!Q12:R",Data!$AM$3)))=0,"- -",SUMIF(INDIRECT(_xlfn.CONCAT("'Order Tracker'!E12:F",Data!$AM$3)),DATE(2025,MATCH(UPPER($U$10), {"JAN","FEB","MAR","APR","MAY","JUN","JUL","AUG","SEP","OCT","NOV","DEC"}, 0),(DAY($D17))),INDIRECT(_xlfn.CONCAT("'Order Tracker'!Q12:R",Data!$AM$3))))</f>
        <v>- -</v>
      </c>
      <c r="V17" s="160" t="str">
        <f ca="1">IF(SUMIF(INDIRECT(_xlfn.CONCAT("'Order Tracker'!E12:F",Data!$AM$3)),DATE(2025,MATCH(UPPER($U$10), {"JAN","FEB","MAR","APR","MAY","JUN","JUL","AUG","SEP","OCT","NOV","DEC"}, 0),(DAY($D17))),INDIRECT(_xlfn.CONCAT("'Order Tracker'!S12:T",Data!$AM$3)))=0,"- -",SUMIF(INDIRECT(_xlfn.CONCAT("'Order Tracker'!E12:F",Data!$AM$3)),DATE(2025,MATCH(UPPER($U$10), {"JAN","FEB","MAR","APR","MAY","JUN","JUL","AUG","SEP","OCT","NOV","DEC"}, 0),(DAY($D17))),INDIRECT(_xlfn.CONCAT("'Order Tracker'!S12:T",Data!$AM$3))))</f>
        <v>- -</v>
      </c>
      <c r="W17" s="156">
        <f t="shared" ca="1" si="4"/>
        <v>0</v>
      </c>
      <c r="X17" s="10"/>
      <c r="Y17" s="160" t="str">
        <f ca="1">IF(SUMIF(INDIRECT(_xlfn.CONCAT("'Order Tracker'!E12:F",Data!$AM$3)),DATE(2025,MATCH(UPPER($Y$10), {"JAN","FEB","MAR","APR","MAY","JUN","JUL","AUG","SEP","OCT","NOV","DEC"}, 0),(DAY($D17))),INDIRECT(_xlfn.CONCAT("'Order Tracker'!Q12:R",Data!$AM$3)))=0,"- -",SUMIF(INDIRECT(_xlfn.CONCAT("'Order Tracker'!E12:F",Data!$AM$3)),DATE(2025,MATCH(UPPER($Y$10), {"JAN","FEB","MAR","APR","MAY","JUN","JUL","AUG","SEP","OCT","NOV","DEC"}, 0),(DAY($D17))),INDIRECT(_xlfn.CONCAT("'Order Tracker'!Q12:R",Data!$AM$3))))</f>
        <v>- -</v>
      </c>
      <c r="Z17" s="160" t="str">
        <f ca="1">IF(SUMIF(INDIRECT(_xlfn.CONCAT("'Order Tracker'!E12:F",Data!$AM$3)),DATE(2025,MATCH(UPPER($Y$10), {"JAN","FEB","MAR","APR","MAY","JUN","JUL","AUG","SEP","OCT","NOV","DEC"}, 0),(DAY($D17))),INDIRECT(_xlfn.CONCAT("'Order Tracker'!S12:T",Data!$AM$3)))=0,"- -",SUMIF(INDIRECT(_xlfn.CONCAT("'Order Tracker'!E12:F",Data!$AM$3)),DATE(2025,MATCH(UPPER($Y$10), {"JAN","FEB","MAR","APR","MAY","JUN","JUL","AUG","SEP","OCT","NOV","DEC"}, 0),(DAY($D17))),INDIRECT(_xlfn.CONCAT("'Order Tracker'!S12:T",Data!$AM$3))))</f>
        <v>- -</v>
      </c>
      <c r="AA17" s="156">
        <f t="shared" ca="1" si="5"/>
        <v>0</v>
      </c>
      <c r="AB17" s="10"/>
      <c r="AC17" s="160" t="str">
        <f ca="1">IF(SUMIF(INDIRECT(_xlfn.CONCAT("'Order Tracker'!E12:F",Data!$AM$3)),DATE(2025,MATCH(UPPER($AC$10), {"JAN","FEB","MAR","APR","MAY","JUN","JUL","AUG","SEP","OCT","NOV","DEC"}, 0),(DAY($D17))),INDIRECT(_xlfn.CONCAT("'Order Tracker'!Q12:R",Data!$AM$3)))=0,"- -",SUMIF(INDIRECT(_xlfn.CONCAT("'Order Tracker'!E12:F",Data!$AM$3)),DATE(2025,MATCH(UPPER($AC$10), {"JAN","FEB","MAR","APR","MAY","JUN","JUL","AUG","SEP","OCT","NOV","DEC"}, 0),(DAY($D17))),INDIRECT(_xlfn.CONCAT("'Order Tracker'!Q12:R",Data!$AM$3))))</f>
        <v>- -</v>
      </c>
      <c r="AD17" s="160" t="str">
        <f ca="1">IF(SUMIF(INDIRECT(_xlfn.CONCAT("'Order Tracker'!E12:F",Data!$AM$3)),DATE(2025,MATCH(UPPER($AC$10), {"JAN","FEB","MAR","APR","MAY","JUN","JUL","AUG","SEP","OCT","NOV","DEC"}, 0),(DAY($D17))),INDIRECT(_xlfn.CONCAT("'Order Tracker'!S12:T",Data!$AM$3)))=0,"- -",SUMIF(INDIRECT(_xlfn.CONCAT("'Order Tracker'!E12:F",Data!$AM$3)),DATE(2025,MATCH(UPPER($AC$10), {"JAN","FEB","MAR","APR","MAY","JUN","JUL","AUG","SEP","OCT","NOV","DEC"}, 0),(DAY($D17))),INDIRECT(_xlfn.CONCAT("'Order Tracker'!S12:T",Data!$AM$3))))</f>
        <v>- -</v>
      </c>
      <c r="AE17" s="156">
        <f t="shared" ca="1" si="6"/>
        <v>0</v>
      </c>
      <c r="AF17" s="10"/>
      <c r="AG17" s="160" t="str">
        <f ca="1">IF(SUMIF(INDIRECT(_xlfn.CONCAT("'Order Tracker'!E12:F",Data!$AM$3)),DATE(2025,MATCH(UPPER($AG$10), {"JAN","FEB","MAR","APR","MAY","JUN","JUL","AUG","SEP","OCT","NOV","DEC"}, 0),(DAY($D17))),INDIRECT(_xlfn.CONCAT("'Order Tracker'!Q12:R",Data!$AM$3)))=0,"- -",SUMIF(INDIRECT(_xlfn.CONCAT("'Order Tracker'!E12:F",Data!$AM$3)),DATE(2025,MATCH(UPPER($AG$10), {"JAN","FEB","MAR","APR","MAY","JUN","JUL","AUG","SEP","OCT","NOV","DEC"}, 0),(DAY($D17))),INDIRECT(_xlfn.CONCAT("'Order Tracker'!Q12:R",Data!$AM$3))))</f>
        <v>- -</v>
      </c>
      <c r="AH17" s="160" t="str">
        <f ca="1">IF(SUMIF(INDIRECT(_xlfn.CONCAT("'Order Tracker'!E12:F",Data!$AM$3)),DATE(2025,MATCH(UPPER($AG$10), {"JAN","FEB","MAR","APR","MAY","JUN","JUL","AUG","SEP","OCT","NOV","DEC"}, 0),(DAY($D17))),INDIRECT(_xlfn.CONCAT("'Order Tracker'!S12:T",Data!$AM$3)))=0,"- -",SUMIF(INDIRECT(_xlfn.CONCAT("'Order Tracker'!E12:F",Data!$AM$3)),DATE(2025,MATCH(UPPER($AG$10), {"JAN","FEB","MAR","APR","MAY","JUN","JUL","AUG","SEP","OCT","NOV","DEC"}, 0),(DAY($D17))),INDIRECT(_xlfn.CONCAT("'Order Tracker'!S12:T",Data!$AM$3))))</f>
        <v>- -</v>
      </c>
      <c r="AI17" s="156">
        <f t="shared" ca="1" si="7"/>
        <v>0</v>
      </c>
      <c r="AJ17" s="10"/>
      <c r="AK17" s="160" t="str">
        <f ca="1">IF(SUMIF(INDIRECT(_xlfn.CONCAT("'Order Tracker'!E12:F",Data!$AM$3)),DATE(2025,MATCH(UPPER($AK$10), {"JAN","FEB","MAR","APR","MAY","JUN","JUL","AUG","SEP","OCT","NOV","DEC"}, 0),(DAY($D17))),INDIRECT(_xlfn.CONCAT("'Order Tracker'!Q12:R",Data!$AM$3)))=0,"- -",SUMIF(INDIRECT(_xlfn.CONCAT("'Order Tracker'!E12:F",Data!$AM$3)),DATE(2025,MATCH(UPPER($AK$10), {"JAN","FEB","MAR","APR","MAY","JUN","JUL","AUG","SEP","OCT","NOV","DEC"}, 0),(DAY($D17))),INDIRECT(_xlfn.CONCAT("'Order Tracker'!Q12:R",Data!$AM$3))))</f>
        <v>- -</v>
      </c>
      <c r="AL17" s="160" t="str">
        <f ca="1">IF(SUMIF(INDIRECT(_xlfn.CONCAT("'Order Tracker'!E12:F",Data!$AM$3)),DATE(2025,MATCH(UPPER($AK$10), {"JAN","FEB","MAR","APR","MAY","JUN","JUL","AUG","SEP","OCT","NOV","DEC"}, 0),(DAY($D17))),INDIRECT(_xlfn.CONCAT("'Order Tracker'!S12:T",Data!$AM$3)))=0,"- -",SUMIF(INDIRECT(_xlfn.CONCAT("'Order Tracker'!E12:F",Data!$AM$3)),DATE(2025,MATCH(UPPER($AK$10), {"JAN","FEB","MAR","APR","MAY","JUN","JUL","AUG","SEP","OCT","NOV","DEC"}, 0),(DAY($D17))),INDIRECT(_xlfn.CONCAT("'Order Tracker'!S12:T",Data!$AM$3))))</f>
        <v>- -</v>
      </c>
      <c r="AM17" s="156">
        <f t="shared" ca="1" si="8"/>
        <v>0</v>
      </c>
      <c r="AN17" s="10"/>
      <c r="AO17" s="160" t="str">
        <f ca="1">IF(SUMIF(INDIRECT(_xlfn.CONCAT("'Order Tracker'!E12:F",Data!$AM$3)),DATE(2025,MATCH(UPPER($AO$10), {"JAN","FEB","MAR","APR","MAY","JUN","JUL","AUG","SEP","OCT","NOV","DEC"}, 0),(DAY($D17))),INDIRECT(_xlfn.CONCAT("'Order Tracker'!Q12:R",Data!$AM$3)))=0,"- -",SUMIF(INDIRECT(_xlfn.CONCAT("'Order Tracker'!E12:F",Data!$AM$3)),DATE(2025,MATCH(UPPER($AO$10), {"JAN","FEB","MAR","APR","MAY","JUN","JUL","AUG","SEP","OCT","NOV","DEC"}, 0),(DAY($D17))),INDIRECT(_xlfn.CONCAT("'Order Tracker'!Q12:R",Data!$AM$3))))</f>
        <v>- -</v>
      </c>
      <c r="AP17" s="160" t="str">
        <f ca="1">IF(SUMIF(INDIRECT(_xlfn.CONCAT("'Order Tracker'!E12:F",Data!$AM$3)),DATE(2025,MATCH(UPPER($AO$10), {"JAN","FEB","MAR","APR","MAY","JUN","JUL","AUG","SEP","OCT","NOV","DEC"}, 0),(DAY($D17))),INDIRECT(_xlfn.CONCAT("'Order Tracker'!S12:T",Data!$AM$3)))=0,"- -",SUMIF(INDIRECT(_xlfn.CONCAT("'Order Tracker'!E12:F",Data!$AM$3)),DATE(2025,MATCH(UPPER($AO$10), {"JAN","FEB","MAR","APR","MAY","JUN","JUL","AUG","SEP","OCT","NOV","DEC"}, 0),(DAY($D17))),INDIRECT(_xlfn.CONCAT("'Order Tracker'!S12:T",Data!$AM$3))))</f>
        <v>- -</v>
      </c>
      <c r="AQ17" s="156">
        <f t="shared" ca="1" si="9"/>
        <v>0</v>
      </c>
      <c r="AR17" s="10"/>
      <c r="AS17" s="160" t="str">
        <f ca="1">IF(SUMIF(INDIRECT(_xlfn.CONCAT("'Order Tracker'!E12:F",Data!$AM$3)),DATE(2025,MATCH(UPPER($AS$10), {"JAN","FEB","MAR","APR","MAY","JUN","JUL","AUG","SEP","OCT","NOV","DEC"}, 0),(DAY($D17))),INDIRECT(_xlfn.CONCAT("'Order Tracker'!Q12:R",Data!$AM$3)))=0,"- -",SUMIF(INDIRECT(_xlfn.CONCAT("'Order Tracker'!E12:F",Data!$AM$3)),DATE(2025,MATCH(UPPER($AS$10), {"JAN","FEB","MAR","APR","MAY","JUN","JUL","AUG","SEP","OCT","NOV","DEC"}, 0),(DAY($D17))),INDIRECT(_xlfn.CONCAT("'Order Tracker'!Q12:R",Data!$AM$3))))</f>
        <v>- -</v>
      </c>
      <c r="AT17" s="160" t="str">
        <f ca="1">IF(SUMIF(INDIRECT(_xlfn.CONCAT("'Order Tracker'!E12:F",Data!$AM$3)),DATE(2025,MATCH(UPPER($AS$10), {"JAN","FEB","MAR","APR","MAY","JUN","JUL","AUG","SEP","OCT","NOV","DEC"}, 0),(DAY($D17))),INDIRECT(_xlfn.CONCAT("'Order Tracker'!S12:T",Data!$AM$3)))=0,"- -",SUMIF(INDIRECT(_xlfn.CONCAT("'Order Tracker'!E12:F",Data!$AM$3)),DATE(2025,MATCH(UPPER($AS$10), {"JAN","FEB","MAR","APR","MAY","JUN","JUL","AUG","SEP","OCT","NOV","DEC"}, 0),(DAY($D17))),INDIRECT(_xlfn.CONCAT("'Order Tracker'!S12:T",Data!$AM$3))))</f>
        <v>- -</v>
      </c>
      <c r="AU17" s="156">
        <f t="shared" ca="1" si="10"/>
        <v>0</v>
      </c>
      <c r="AV17" s="7"/>
      <c r="AW17" s="160" t="str">
        <f ca="1">IF(SUMIF(INDIRECT(_xlfn.CONCAT("'Order Tracker'!E12:F",Data!$AM$3)),DATE(2025,MATCH(UPPER($AW$10), {"JAN","FEB","MAR","APR","MAY","JUN","JUL","AUG","SEP","OCT","NOV","DEC"}, 0),(DAY($D17))),INDIRECT(_xlfn.CONCAT("'Order Tracker'!Q12:R",Data!$AM$3)))=0,"- -",SUMIF(INDIRECT(_xlfn.CONCAT("'Order Tracker'!E12:F",Data!$AM$3)),DATE(2025,MATCH(UPPER($AW$10), {"JAN","FEB","MAR","APR","MAY","JUN","JUL","AUG","SEP","OCT","NOV","DEC"}, 0),(DAY($D17))),INDIRECT(_xlfn.CONCAT("'Order Tracker'!Q12:R",Data!$AM$3))))</f>
        <v>- -</v>
      </c>
      <c r="AX17" s="160" t="str">
        <f ca="1">IF(SUMIF(INDIRECT(_xlfn.CONCAT("'Order Tracker'!E12:F",Data!$AM$3)),DATE(2025,MATCH(UPPER($AW$10), {"JAN","FEB","MAR","APR","MAY","JUN","JUL","AUG","SEP","OCT","NOV","DEC"}, 0),(DAY($D17))),INDIRECT(_xlfn.CONCAT("'Order Tracker'!S12:T",Data!$AM$3)))=0,"- -",SUMIF(INDIRECT(_xlfn.CONCAT("'Order Tracker'!E12:F",Data!$AM$3)),DATE(2025,MATCH(UPPER($AW$10), {"JAN","FEB","MAR","APR","MAY","JUN","JUL","AUG","SEP","OCT","NOV","DEC"}, 0),(DAY($D17))),INDIRECT(_xlfn.CONCAT("'Order Tracker'!S12:T",Data!$AM$3))))</f>
        <v>- -</v>
      </c>
      <c r="AY17" s="156">
        <f t="shared" ca="1" si="11"/>
        <v>0</v>
      </c>
      <c r="AZ17" s="109"/>
    </row>
    <row r="18" spans="4:52" ht="18" hidden="1" x14ac:dyDescent="0.2">
      <c r="D18" s="151">
        <v>5</v>
      </c>
      <c r="E18" s="160" t="str">
        <f ca="1">IF(SUMIF(INDIRECT(_xlfn.CONCAT("'Order Tracker'!E12:F",Data!$AM$3)),DATE(2025,MATCH(UPPER($E$10), {"JAN","FEB","MAR","APR","MAY","JUN","JUL","AUG","SEP","OCT","NOV","DEC"}, 0),(DAY($D18))),INDIRECT(_xlfn.CONCAT("'Order Tracker'!Q12:R",Data!$AM$3)))=0,"- -",SUMIF(INDIRECT(_xlfn.CONCAT("'Order Tracker'!E12:F",Data!$AM$3)),DATE(2025,MATCH(UPPER($E$10), {"JAN","FEB","MAR","APR","MAY","JUN","JUL","AUG","SEP","OCT","NOV","DEC"}, 0),(DAY($D18))),INDIRECT(_xlfn.CONCAT("'Order Tracker'!Q12:R",Data!$AM$3))))</f>
        <v>- -</v>
      </c>
      <c r="F18" s="160" t="str">
        <f ca="1">IF(SUMIF(INDIRECT(_xlfn.CONCAT("'Order Tracker'!E12:F",Data!$AM$3)),DATE(2025,MATCH(UPPER($E$10), {"JAN","FEB","MAR","APR","MAY","JUN","JUL","AUG","SEP","OCT","NOV","DEC"}, 0),(DAY($D18))),INDIRECT(_xlfn.CONCAT("'Order Tracker'!S12:T",Data!$AM$3)))=0,"- -",SUMIF(INDIRECT(_xlfn.CONCAT("'Order Tracker'!E12:F",Data!$AM$3)),DATE(2025,MATCH(UPPER($E$10), {"JAN","FEB","MAR","APR","MAY","JUN","JUL","AUG","SEP","OCT","NOV","DEC"}, 0),(DAY($D18))),INDIRECT(_xlfn.CONCAT("'Order Tracker'!S12:T",Data!$AM$3))))</f>
        <v>- -</v>
      </c>
      <c r="G18" s="156">
        <f t="shared" ca="1" si="0"/>
        <v>0</v>
      </c>
      <c r="H18" s="10"/>
      <c r="I18" s="160" t="str">
        <f ca="1">IF(SUMIF(INDIRECT(_xlfn.CONCAT("'Order Tracker'!E12:F",Data!$AM$3)),DATE(2025,MATCH(UPPER($I$10), {"JAN","FEB","MAR","APR","MAY","JUN","JUL","AUG","SEP","OCT","NOV","DEC"}, 0),(DAY($D18))),INDIRECT(_xlfn.CONCAT("'Order Tracker'!Q12:R",Data!$AM$3)))=0,"- -",SUMIF(INDIRECT(_xlfn.CONCAT("'Order Tracker'!E12:F",Data!$AM$3)),DATE(2025,MATCH(UPPER($I$10), {"JAN","FEB","MAR","APR","MAY","JUN","JUL","AUG","SEP","OCT","NOV","DEC"}, 0),(DAY($D18))),INDIRECT(_xlfn.CONCAT("'Order Tracker'!Q12:R",Data!$AM$3))))</f>
        <v>- -</v>
      </c>
      <c r="J18" s="160" t="str">
        <f ca="1">IF(SUMIF(INDIRECT(_xlfn.CONCAT("'Order Tracker'!E12:F",Data!$AM$3)),DATE(2025,MATCH(UPPER($I$10), {"JAN","FEB","MAR","APR","MAY","JUN","JUL","AUG","SEP","OCT","NOV","DEC"}, 0),(DAY($D18))),INDIRECT(_xlfn.CONCAT("'Order Tracker'!S12:T",Data!$AM$3)))=0,"- -",SUMIF(INDIRECT(_xlfn.CONCAT("'Order Tracker'!E12:F",Data!$AM$3)),DATE(2025,MATCH(UPPER($I$10), {"JAN","FEB","MAR","APR","MAY","JUN","JUL","AUG","SEP","OCT","NOV","DEC"}, 0),(DAY($D18))),INDIRECT(_xlfn.CONCAT("'Order Tracker'!S12:T",Data!$AM$3))))</f>
        <v>- -</v>
      </c>
      <c r="K18" s="156">
        <f t="shared" ca="1" si="1"/>
        <v>0</v>
      </c>
      <c r="L18" s="10"/>
      <c r="M18" s="160" t="str">
        <f ca="1">IF(SUMIF(INDIRECT(_xlfn.CONCAT("'Order Tracker'!E12:F",Data!$AM$3)),DATE(2025,MATCH(UPPER($M$10), {"JAN","FEB","MAR","APR","MAY","JUN","JUL","AUG","SEP","OCT","NOV","DEC"}, 0),(DAY($D18))),INDIRECT(_xlfn.CONCAT("'Order Tracker'!Q12:R",Data!$AM$3)))=0,"- -",SUMIF(INDIRECT(_xlfn.CONCAT("'Order Tracker'!E12:F",Data!$AM$3)),DATE(2025,MATCH(UPPER($M$10), {"JAN","FEB","MAR","APR","MAY","JUN","JUL","AUG","SEP","OCT","NOV","DEC"}, 0),(DAY($D18))),INDIRECT(_xlfn.CONCAT("'Order Tracker'!Q12:R",Data!$AM$3))))</f>
        <v>- -</v>
      </c>
      <c r="N18" s="160" t="str">
        <f ca="1">IF(SUMIF(INDIRECT(_xlfn.CONCAT("'Order Tracker'!E12:F",Data!$AM$3)),DATE(2025,MATCH(UPPER($M$10), {"JAN","FEB","MAR","APR","MAY","JUN","JUL","AUG","SEP","OCT","NOV","DEC"}, 0),(DAY($D18))),INDIRECT(_xlfn.CONCAT("'Order Tracker'!S12:T",Data!$AM$3)))=0,"- -",SUMIF(INDIRECT(_xlfn.CONCAT("'Order Tracker'!E12:F",Data!$AM$3)),DATE(2025,MATCH(UPPER($M$10), {"JAN","FEB","MAR","APR","MAY","JUN","JUL","AUG","SEP","OCT","NOV","DEC"}, 0),(DAY($D18))),INDIRECT(_xlfn.CONCAT("'Order Tracker'!S12:T",Data!$AM$3))))</f>
        <v>- -</v>
      </c>
      <c r="O18" s="156">
        <f t="shared" ca="1" si="2"/>
        <v>0</v>
      </c>
      <c r="P18" s="10"/>
      <c r="Q18" s="160" t="str">
        <f ca="1">IF(SUMIF(INDIRECT(_xlfn.CONCAT("'Order Tracker'!E12:F",Data!$AM$3)),DATE(2025,MATCH(UPPER($Q$10), {"JAN","FEB","MAR","APR","MAY","JUN","JUL","AUG","SEP","OCT","NOV","DEC"}, 0),(DAY($D18))),INDIRECT(_xlfn.CONCAT("'Order Tracker'!Q12:R",Data!$AM$3)))=0,"- -",SUMIF(INDIRECT(_xlfn.CONCAT("'Order Tracker'!E12:F",Data!$AM$3)),DATE(2025,MATCH(UPPER($Q$10), {"JAN","FEB","MAR","APR","MAY","JUN","JUL","AUG","SEP","OCT","NOV","DEC"}, 0),(DAY($D18))),INDIRECT(_xlfn.CONCAT("'Order Tracker'!Q12:R",Data!$AM$3))))</f>
        <v>- -</v>
      </c>
      <c r="R18" s="160" t="str">
        <f ca="1">IF(SUMIF(INDIRECT(_xlfn.CONCAT("'Order Tracker'!E12:F",Data!$AM$3)),DATE(2025,MATCH(UPPER($Q$10), {"JAN","FEB","MAR","APR","MAY","JUN","JUL","AUG","SEP","OCT","NOV","DEC"}, 0),(DAY($D18))),INDIRECT(_xlfn.CONCAT("'Order Tracker'!S12:T",Data!$AM$3)))=0,"- -",SUMIF(INDIRECT(_xlfn.CONCAT("'Order Tracker'!E12:F",Data!$AM$3)),DATE(2025,MATCH(UPPER($Q$10), {"JAN","FEB","MAR","APR","MAY","JUN","JUL","AUG","SEP","OCT","NOV","DEC"}, 0),(DAY($D18))),INDIRECT(_xlfn.CONCAT("'Order Tracker'!S12:T",Data!$AM$3))))</f>
        <v>- -</v>
      </c>
      <c r="S18" s="156">
        <f t="shared" ca="1" si="3"/>
        <v>0</v>
      </c>
      <c r="T18" s="10"/>
      <c r="U18" s="160" t="str">
        <f ca="1">IF(SUMIF(INDIRECT(_xlfn.CONCAT("'Order Tracker'!E12:F",Data!$AM$3)),DATE(2025,MATCH(UPPER($U$10), {"JAN","FEB","MAR","APR","MAY","JUN","JUL","AUG","SEP","OCT","NOV","DEC"}, 0),(DAY($D18))),INDIRECT(_xlfn.CONCAT("'Order Tracker'!Q12:R",Data!$AM$3)))=0,"- -",SUMIF(INDIRECT(_xlfn.CONCAT("'Order Tracker'!E12:F",Data!$AM$3)),DATE(2025,MATCH(UPPER($U$10), {"JAN","FEB","MAR","APR","MAY","JUN","JUL","AUG","SEP","OCT","NOV","DEC"}, 0),(DAY($D18))),INDIRECT(_xlfn.CONCAT("'Order Tracker'!Q12:R",Data!$AM$3))))</f>
        <v>- -</v>
      </c>
      <c r="V18" s="160" t="str">
        <f ca="1">IF(SUMIF(INDIRECT(_xlfn.CONCAT("'Order Tracker'!E12:F",Data!$AM$3)),DATE(2025,MATCH(UPPER($U$10), {"JAN","FEB","MAR","APR","MAY","JUN","JUL","AUG","SEP","OCT","NOV","DEC"}, 0),(DAY($D18))),INDIRECT(_xlfn.CONCAT("'Order Tracker'!S12:T",Data!$AM$3)))=0,"- -",SUMIF(INDIRECT(_xlfn.CONCAT("'Order Tracker'!E12:F",Data!$AM$3)),DATE(2025,MATCH(UPPER($U$10), {"JAN","FEB","MAR","APR","MAY","JUN","JUL","AUG","SEP","OCT","NOV","DEC"}, 0),(DAY($D18))),INDIRECT(_xlfn.CONCAT("'Order Tracker'!S12:T",Data!$AM$3))))</f>
        <v>- -</v>
      </c>
      <c r="W18" s="156">
        <f t="shared" ca="1" si="4"/>
        <v>0</v>
      </c>
      <c r="X18" s="10"/>
      <c r="Y18" s="160" t="str">
        <f ca="1">IF(SUMIF(INDIRECT(_xlfn.CONCAT("'Order Tracker'!E12:F",Data!$AM$3)),DATE(2025,MATCH(UPPER($Y$10), {"JAN","FEB","MAR","APR","MAY","JUN","JUL","AUG","SEP","OCT","NOV","DEC"}, 0),(DAY($D18))),INDIRECT(_xlfn.CONCAT("'Order Tracker'!Q12:R",Data!$AM$3)))=0,"- -",SUMIF(INDIRECT(_xlfn.CONCAT("'Order Tracker'!E12:F",Data!$AM$3)),DATE(2025,MATCH(UPPER($Y$10), {"JAN","FEB","MAR","APR","MAY","JUN","JUL","AUG","SEP","OCT","NOV","DEC"}, 0),(DAY($D18))),INDIRECT(_xlfn.CONCAT("'Order Tracker'!Q12:R",Data!$AM$3))))</f>
        <v>- -</v>
      </c>
      <c r="Z18" s="160" t="str">
        <f ca="1">IF(SUMIF(INDIRECT(_xlfn.CONCAT("'Order Tracker'!E12:F",Data!$AM$3)),DATE(2025,MATCH(UPPER($Y$10), {"JAN","FEB","MAR","APR","MAY","JUN","JUL","AUG","SEP","OCT","NOV","DEC"}, 0),(DAY($D18))),INDIRECT(_xlfn.CONCAT("'Order Tracker'!S12:T",Data!$AM$3)))=0,"- -",SUMIF(INDIRECT(_xlfn.CONCAT("'Order Tracker'!E12:F",Data!$AM$3)),DATE(2025,MATCH(UPPER($Y$10), {"JAN","FEB","MAR","APR","MAY","JUN","JUL","AUG","SEP","OCT","NOV","DEC"}, 0),(DAY($D18))),INDIRECT(_xlfn.CONCAT("'Order Tracker'!S12:T",Data!$AM$3))))</f>
        <v>- -</v>
      </c>
      <c r="AA18" s="156">
        <f t="shared" ca="1" si="5"/>
        <v>0</v>
      </c>
      <c r="AB18" s="10"/>
      <c r="AC18" s="160" t="str">
        <f ca="1">IF(SUMIF(INDIRECT(_xlfn.CONCAT("'Order Tracker'!E12:F",Data!$AM$3)),DATE(2025,MATCH(UPPER($AC$10), {"JAN","FEB","MAR","APR","MAY","JUN","JUL","AUG","SEP","OCT","NOV","DEC"}, 0),(DAY($D18))),INDIRECT(_xlfn.CONCAT("'Order Tracker'!Q12:R",Data!$AM$3)))=0,"- -",SUMIF(INDIRECT(_xlfn.CONCAT("'Order Tracker'!E12:F",Data!$AM$3)),DATE(2025,MATCH(UPPER($AC$10), {"JAN","FEB","MAR","APR","MAY","JUN","JUL","AUG","SEP","OCT","NOV","DEC"}, 0),(DAY($D18))),INDIRECT(_xlfn.CONCAT("'Order Tracker'!Q12:R",Data!$AM$3))))</f>
        <v>- -</v>
      </c>
      <c r="AD18" s="160" t="str">
        <f ca="1">IF(SUMIF(INDIRECT(_xlfn.CONCAT("'Order Tracker'!E12:F",Data!$AM$3)),DATE(2025,MATCH(UPPER($AC$10), {"JAN","FEB","MAR","APR","MAY","JUN","JUL","AUG","SEP","OCT","NOV","DEC"}, 0),(DAY($D18))),INDIRECT(_xlfn.CONCAT("'Order Tracker'!S12:T",Data!$AM$3)))=0,"- -",SUMIF(INDIRECT(_xlfn.CONCAT("'Order Tracker'!E12:F",Data!$AM$3)),DATE(2025,MATCH(UPPER($AC$10), {"JAN","FEB","MAR","APR","MAY","JUN","JUL","AUG","SEP","OCT","NOV","DEC"}, 0),(DAY($D18))),INDIRECT(_xlfn.CONCAT("'Order Tracker'!S12:T",Data!$AM$3))))</f>
        <v>- -</v>
      </c>
      <c r="AE18" s="156">
        <f t="shared" ca="1" si="6"/>
        <v>0</v>
      </c>
      <c r="AF18" s="10"/>
      <c r="AG18" s="160" t="str">
        <f ca="1">IF(SUMIF(INDIRECT(_xlfn.CONCAT("'Order Tracker'!E12:F",Data!$AM$3)),DATE(2025,MATCH(UPPER($AG$10), {"JAN","FEB","MAR","APR","MAY","JUN","JUL","AUG","SEP","OCT","NOV","DEC"}, 0),(DAY($D18))),INDIRECT(_xlfn.CONCAT("'Order Tracker'!Q12:R",Data!$AM$3)))=0,"- -",SUMIF(INDIRECT(_xlfn.CONCAT("'Order Tracker'!E12:F",Data!$AM$3)),DATE(2025,MATCH(UPPER($AG$10), {"JAN","FEB","MAR","APR","MAY","JUN","JUL","AUG","SEP","OCT","NOV","DEC"}, 0),(DAY($D18))),INDIRECT(_xlfn.CONCAT("'Order Tracker'!Q12:R",Data!$AM$3))))</f>
        <v>- -</v>
      </c>
      <c r="AH18" s="160" t="str">
        <f ca="1">IF(SUMIF(INDIRECT(_xlfn.CONCAT("'Order Tracker'!E12:F",Data!$AM$3)),DATE(2025,MATCH(UPPER($AG$10), {"JAN","FEB","MAR","APR","MAY","JUN","JUL","AUG","SEP","OCT","NOV","DEC"}, 0),(DAY($D18))),INDIRECT(_xlfn.CONCAT("'Order Tracker'!S12:T",Data!$AM$3)))=0,"- -",SUMIF(INDIRECT(_xlfn.CONCAT("'Order Tracker'!E12:F",Data!$AM$3)),DATE(2025,MATCH(UPPER($AG$10), {"JAN","FEB","MAR","APR","MAY","JUN","JUL","AUG","SEP","OCT","NOV","DEC"}, 0),(DAY($D18))),INDIRECT(_xlfn.CONCAT("'Order Tracker'!S12:T",Data!$AM$3))))</f>
        <v>- -</v>
      </c>
      <c r="AI18" s="156">
        <f t="shared" ca="1" si="7"/>
        <v>0</v>
      </c>
      <c r="AJ18" s="10"/>
      <c r="AK18" s="160" t="str">
        <f ca="1">IF(SUMIF(INDIRECT(_xlfn.CONCAT("'Order Tracker'!E12:F",Data!$AM$3)),DATE(2025,MATCH(UPPER($AK$10), {"JAN","FEB","MAR","APR","MAY","JUN","JUL","AUG","SEP","OCT","NOV","DEC"}, 0),(DAY($D18))),INDIRECT(_xlfn.CONCAT("'Order Tracker'!Q12:R",Data!$AM$3)))=0,"- -",SUMIF(INDIRECT(_xlfn.CONCAT("'Order Tracker'!E12:F",Data!$AM$3)),DATE(2025,MATCH(UPPER($AK$10), {"JAN","FEB","MAR","APR","MAY","JUN","JUL","AUG","SEP","OCT","NOV","DEC"}, 0),(DAY($D18))),INDIRECT(_xlfn.CONCAT("'Order Tracker'!Q12:R",Data!$AM$3))))</f>
        <v>- -</v>
      </c>
      <c r="AL18" s="160" t="str">
        <f ca="1">IF(SUMIF(INDIRECT(_xlfn.CONCAT("'Order Tracker'!E12:F",Data!$AM$3)),DATE(2025,MATCH(UPPER($AK$10), {"JAN","FEB","MAR","APR","MAY","JUN","JUL","AUG","SEP","OCT","NOV","DEC"}, 0),(DAY($D18))),INDIRECT(_xlfn.CONCAT("'Order Tracker'!S12:T",Data!$AM$3)))=0,"- -",SUMIF(INDIRECT(_xlfn.CONCAT("'Order Tracker'!E12:F",Data!$AM$3)),DATE(2025,MATCH(UPPER($AK$10), {"JAN","FEB","MAR","APR","MAY","JUN","JUL","AUG","SEP","OCT","NOV","DEC"}, 0),(DAY($D18))),INDIRECT(_xlfn.CONCAT("'Order Tracker'!S12:T",Data!$AM$3))))</f>
        <v>- -</v>
      </c>
      <c r="AM18" s="156">
        <f t="shared" ca="1" si="8"/>
        <v>0</v>
      </c>
      <c r="AN18" s="10"/>
      <c r="AO18" s="160" t="str">
        <f ca="1">IF(SUMIF(INDIRECT(_xlfn.CONCAT("'Order Tracker'!E12:F",Data!$AM$3)),DATE(2025,MATCH(UPPER($AO$10), {"JAN","FEB","MAR","APR","MAY","JUN","JUL","AUG","SEP","OCT","NOV","DEC"}, 0),(DAY($D18))),INDIRECT(_xlfn.CONCAT("'Order Tracker'!Q12:R",Data!$AM$3)))=0,"- -",SUMIF(INDIRECT(_xlfn.CONCAT("'Order Tracker'!E12:F",Data!$AM$3)),DATE(2025,MATCH(UPPER($AO$10), {"JAN","FEB","MAR","APR","MAY","JUN","JUL","AUG","SEP","OCT","NOV","DEC"}, 0),(DAY($D18))),INDIRECT(_xlfn.CONCAT("'Order Tracker'!Q12:R",Data!$AM$3))))</f>
        <v>- -</v>
      </c>
      <c r="AP18" s="160" t="str">
        <f ca="1">IF(SUMIF(INDIRECT(_xlfn.CONCAT("'Order Tracker'!E12:F",Data!$AM$3)),DATE(2025,MATCH(UPPER($AO$10), {"JAN","FEB","MAR","APR","MAY","JUN","JUL","AUG","SEP","OCT","NOV","DEC"}, 0),(DAY($D18))),INDIRECT(_xlfn.CONCAT("'Order Tracker'!S12:T",Data!$AM$3)))=0,"- -",SUMIF(INDIRECT(_xlfn.CONCAT("'Order Tracker'!E12:F",Data!$AM$3)),DATE(2025,MATCH(UPPER($AO$10), {"JAN","FEB","MAR","APR","MAY","JUN","JUL","AUG","SEP","OCT","NOV","DEC"}, 0),(DAY($D18))),INDIRECT(_xlfn.CONCAT("'Order Tracker'!S12:T",Data!$AM$3))))</f>
        <v>- -</v>
      </c>
      <c r="AQ18" s="156">
        <f t="shared" ca="1" si="9"/>
        <v>0</v>
      </c>
      <c r="AR18" s="10"/>
      <c r="AS18" s="160" t="str">
        <f ca="1">IF(SUMIF(INDIRECT(_xlfn.CONCAT("'Order Tracker'!E12:F",Data!$AM$3)),DATE(2025,MATCH(UPPER($AS$10), {"JAN","FEB","MAR","APR","MAY","JUN","JUL","AUG","SEP","OCT","NOV","DEC"}, 0),(DAY($D18))),INDIRECT(_xlfn.CONCAT("'Order Tracker'!Q12:R",Data!$AM$3)))=0,"- -",SUMIF(INDIRECT(_xlfn.CONCAT("'Order Tracker'!E12:F",Data!$AM$3)),DATE(2025,MATCH(UPPER($AS$10), {"JAN","FEB","MAR","APR","MAY","JUN","JUL","AUG","SEP","OCT","NOV","DEC"}, 0),(DAY($D18))),INDIRECT(_xlfn.CONCAT("'Order Tracker'!Q12:R",Data!$AM$3))))</f>
        <v>- -</v>
      </c>
      <c r="AT18" s="160" t="str">
        <f ca="1">IF(SUMIF(INDIRECT(_xlfn.CONCAT("'Order Tracker'!E12:F",Data!$AM$3)),DATE(2025,MATCH(UPPER($AS$10), {"JAN","FEB","MAR","APR","MAY","JUN","JUL","AUG","SEP","OCT","NOV","DEC"}, 0),(DAY($D18))),INDIRECT(_xlfn.CONCAT("'Order Tracker'!S12:T",Data!$AM$3)))=0,"- -",SUMIF(INDIRECT(_xlfn.CONCAT("'Order Tracker'!E12:F",Data!$AM$3)),DATE(2025,MATCH(UPPER($AS$10), {"JAN","FEB","MAR","APR","MAY","JUN","JUL","AUG","SEP","OCT","NOV","DEC"}, 0),(DAY($D18))),INDIRECT(_xlfn.CONCAT("'Order Tracker'!S12:T",Data!$AM$3))))</f>
        <v>- -</v>
      </c>
      <c r="AU18" s="156">
        <f t="shared" ca="1" si="10"/>
        <v>0</v>
      </c>
      <c r="AV18" s="7"/>
      <c r="AW18" s="160" t="str">
        <f ca="1">IF(SUMIF(INDIRECT(_xlfn.CONCAT("'Order Tracker'!E12:F",Data!$AM$3)),DATE(2025,MATCH(UPPER($AW$10), {"JAN","FEB","MAR","APR","MAY","JUN","JUL","AUG","SEP","OCT","NOV","DEC"}, 0),(DAY($D18))),INDIRECT(_xlfn.CONCAT("'Order Tracker'!Q12:R",Data!$AM$3)))=0,"- -",SUMIF(INDIRECT(_xlfn.CONCAT("'Order Tracker'!E12:F",Data!$AM$3)),DATE(2025,MATCH(UPPER($AW$10), {"JAN","FEB","MAR","APR","MAY","JUN","JUL","AUG","SEP","OCT","NOV","DEC"}, 0),(DAY($D18))),INDIRECT(_xlfn.CONCAT("'Order Tracker'!Q12:R",Data!$AM$3))))</f>
        <v>- -</v>
      </c>
      <c r="AX18" s="160" t="str">
        <f ca="1">IF(SUMIF(INDIRECT(_xlfn.CONCAT("'Order Tracker'!E12:F",Data!$AM$3)),DATE(2025,MATCH(UPPER($AW$10), {"JAN","FEB","MAR","APR","MAY","JUN","JUL","AUG","SEP","OCT","NOV","DEC"}, 0),(DAY($D18))),INDIRECT(_xlfn.CONCAT("'Order Tracker'!S12:T",Data!$AM$3)))=0,"- -",SUMIF(INDIRECT(_xlfn.CONCAT("'Order Tracker'!E12:F",Data!$AM$3)),DATE(2025,MATCH(UPPER($AW$10), {"JAN","FEB","MAR","APR","MAY","JUN","JUL","AUG","SEP","OCT","NOV","DEC"}, 0),(DAY($D18))),INDIRECT(_xlfn.CONCAT("'Order Tracker'!S12:T",Data!$AM$3))))</f>
        <v>- -</v>
      </c>
      <c r="AY18" s="156">
        <f t="shared" ca="1" si="11"/>
        <v>0</v>
      </c>
      <c r="AZ18" s="109"/>
    </row>
    <row r="19" spans="4:52" ht="18" hidden="1" x14ac:dyDescent="0.2">
      <c r="D19" s="151">
        <v>6</v>
      </c>
      <c r="E19" s="160" t="str">
        <f ca="1">IF(SUMIF(INDIRECT(_xlfn.CONCAT("'Order Tracker'!E12:F",Data!$AM$3)),DATE(2025,MATCH(UPPER($E$10), {"JAN","FEB","MAR","APR","MAY","JUN","JUL","AUG","SEP","OCT","NOV","DEC"}, 0),(DAY($D19))),INDIRECT(_xlfn.CONCAT("'Order Tracker'!Q12:R",Data!$AM$3)))=0,"- -",SUMIF(INDIRECT(_xlfn.CONCAT("'Order Tracker'!E12:F",Data!$AM$3)),DATE(2025,MATCH(UPPER($E$10), {"JAN","FEB","MAR","APR","MAY","JUN","JUL","AUG","SEP","OCT","NOV","DEC"}, 0),(DAY($D19))),INDIRECT(_xlfn.CONCAT("'Order Tracker'!Q12:R",Data!$AM$3))))</f>
        <v>- -</v>
      </c>
      <c r="F19" s="160" t="str">
        <f ca="1">IF(SUMIF(INDIRECT(_xlfn.CONCAT("'Order Tracker'!E12:F",Data!$AM$3)),DATE(2025,MATCH(UPPER($E$10), {"JAN","FEB","MAR","APR","MAY","JUN","JUL","AUG","SEP","OCT","NOV","DEC"}, 0),(DAY($D19))),INDIRECT(_xlfn.CONCAT("'Order Tracker'!S12:T",Data!$AM$3)))=0,"- -",SUMIF(INDIRECT(_xlfn.CONCAT("'Order Tracker'!E12:F",Data!$AM$3)),DATE(2025,MATCH(UPPER($E$10), {"JAN","FEB","MAR","APR","MAY","JUN","JUL","AUG","SEP","OCT","NOV","DEC"}, 0),(DAY($D19))),INDIRECT(_xlfn.CONCAT("'Order Tracker'!S12:T",Data!$AM$3))))</f>
        <v>- -</v>
      </c>
      <c r="G19" s="156">
        <f t="shared" ca="1" si="0"/>
        <v>0</v>
      </c>
      <c r="H19" s="10"/>
      <c r="I19" s="160" t="str">
        <f ca="1">IF(SUMIF(INDIRECT(_xlfn.CONCAT("'Order Tracker'!E12:F",Data!$AM$3)),DATE(2025,MATCH(UPPER($I$10), {"JAN","FEB","MAR","APR","MAY","JUN","JUL","AUG","SEP","OCT","NOV","DEC"}, 0),(DAY($D19))),INDIRECT(_xlfn.CONCAT("'Order Tracker'!Q12:R",Data!$AM$3)))=0,"- -",SUMIF(INDIRECT(_xlfn.CONCAT("'Order Tracker'!E12:F",Data!$AM$3)),DATE(2025,MATCH(UPPER($I$10), {"JAN","FEB","MAR","APR","MAY","JUN","JUL","AUG","SEP","OCT","NOV","DEC"}, 0),(DAY($D19))),INDIRECT(_xlfn.CONCAT("'Order Tracker'!Q12:R",Data!$AM$3))))</f>
        <v>- -</v>
      </c>
      <c r="J19" s="160" t="str">
        <f ca="1">IF(SUMIF(INDIRECT(_xlfn.CONCAT("'Order Tracker'!E12:F",Data!$AM$3)),DATE(2025,MATCH(UPPER($I$10), {"JAN","FEB","MAR","APR","MAY","JUN","JUL","AUG","SEP","OCT","NOV","DEC"}, 0),(DAY($D19))),INDIRECT(_xlfn.CONCAT("'Order Tracker'!S12:T",Data!$AM$3)))=0,"- -",SUMIF(INDIRECT(_xlfn.CONCAT("'Order Tracker'!E12:F",Data!$AM$3)),DATE(2025,MATCH(UPPER($I$10), {"JAN","FEB","MAR","APR","MAY","JUN","JUL","AUG","SEP","OCT","NOV","DEC"}, 0),(DAY($D19))),INDIRECT(_xlfn.CONCAT("'Order Tracker'!S12:T",Data!$AM$3))))</f>
        <v>- -</v>
      </c>
      <c r="K19" s="156">
        <f t="shared" ca="1" si="1"/>
        <v>0</v>
      </c>
      <c r="L19" s="10"/>
      <c r="M19" s="160" t="str">
        <f ca="1">IF(SUMIF(INDIRECT(_xlfn.CONCAT("'Order Tracker'!E12:F",Data!$AM$3)),DATE(2025,MATCH(UPPER($M$10), {"JAN","FEB","MAR","APR","MAY","JUN","JUL","AUG","SEP","OCT","NOV","DEC"}, 0),(DAY($D19))),INDIRECT(_xlfn.CONCAT("'Order Tracker'!Q12:R",Data!$AM$3)))=0,"- -",SUMIF(INDIRECT(_xlfn.CONCAT("'Order Tracker'!E12:F",Data!$AM$3)),DATE(2025,MATCH(UPPER($M$10), {"JAN","FEB","MAR","APR","MAY","JUN","JUL","AUG","SEP","OCT","NOV","DEC"}, 0),(DAY($D19))),INDIRECT(_xlfn.CONCAT("'Order Tracker'!Q12:R",Data!$AM$3))))</f>
        <v>- -</v>
      </c>
      <c r="N19" s="160" t="str">
        <f ca="1">IF(SUMIF(INDIRECT(_xlfn.CONCAT("'Order Tracker'!E12:F",Data!$AM$3)),DATE(2025,MATCH(UPPER($M$10), {"JAN","FEB","MAR","APR","MAY","JUN","JUL","AUG","SEP","OCT","NOV","DEC"}, 0),(DAY($D19))),INDIRECT(_xlfn.CONCAT("'Order Tracker'!S12:T",Data!$AM$3)))=0,"- -",SUMIF(INDIRECT(_xlfn.CONCAT("'Order Tracker'!E12:F",Data!$AM$3)),DATE(2025,MATCH(UPPER($M$10), {"JAN","FEB","MAR","APR","MAY","JUN","JUL","AUG","SEP","OCT","NOV","DEC"}, 0),(DAY($D19))),INDIRECT(_xlfn.CONCAT("'Order Tracker'!S12:T",Data!$AM$3))))</f>
        <v>- -</v>
      </c>
      <c r="O19" s="156">
        <f t="shared" ca="1" si="2"/>
        <v>0</v>
      </c>
      <c r="P19" s="10"/>
      <c r="Q19" s="160" t="str">
        <f ca="1">IF(SUMIF(INDIRECT(_xlfn.CONCAT("'Order Tracker'!E12:F",Data!$AM$3)),DATE(2025,MATCH(UPPER($Q$10), {"JAN","FEB","MAR","APR","MAY","JUN","JUL","AUG","SEP","OCT","NOV","DEC"}, 0),(DAY($D19))),INDIRECT(_xlfn.CONCAT("'Order Tracker'!Q12:R",Data!$AM$3)))=0,"- -",SUMIF(INDIRECT(_xlfn.CONCAT("'Order Tracker'!E12:F",Data!$AM$3)),DATE(2025,MATCH(UPPER($Q$10), {"JAN","FEB","MAR","APR","MAY","JUN","JUL","AUG","SEP","OCT","NOV","DEC"}, 0),(DAY($D19))),INDIRECT(_xlfn.CONCAT("'Order Tracker'!Q12:R",Data!$AM$3))))</f>
        <v>- -</v>
      </c>
      <c r="R19" s="160" t="str">
        <f ca="1">IF(SUMIF(INDIRECT(_xlfn.CONCAT("'Order Tracker'!E12:F",Data!$AM$3)),DATE(2025,MATCH(UPPER($Q$10), {"JAN","FEB","MAR","APR","MAY","JUN","JUL","AUG","SEP","OCT","NOV","DEC"}, 0),(DAY($D19))),INDIRECT(_xlfn.CONCAT("'Order Tracker'!S12:T",Data!$AM$3)))=0,"- -",SUMIF(INDIRECT(_xlfn.CONCAT("'Order Tracker'!E12:F",Data!$AM$3)),DATE(2025,MATCH(UPPER($Q$10), {"JAN","FEB","MAR","APR","MAY","JUN","JUL","AUG","SEP","OCT","NOV","DEC"}, 0),(DAY($D19))),INDIRECT(_xlfn.CONCAT("'Order Tracker'!S12:T",Data!$AM$3))))</f>
        <v>- -</v>
      </c>
      <c r="S19" s="156">
        <f t="shared" ca="1" si="3"/>
        <v>0</v>
      </c>
      <c r="T19" s="10"/>
      <c r="U19" s="160" t="str">
        <f ca="1">IF(SUMIF(INDIRECT(_xlfn.CONCAT("'Order Tracker'!E12:F",Data!$AM$3)),DATE(2025,MATCH(UPPER($U$10), {"JAN","FEB","MAR","APR","MAY","JUN","JUL","AUG","SEP","OCT","NOV","DEC"}, 0),(DAY($D19))),INDIRECT(_xlfn.CONCAT("'Order Tracker'!Q12:R",Data!$AM$3)))=0,"- -",SUMIF(INDIRECT(_xlfn.CONCAT("'Order Tracker'!E12:F",Data!$AM$3)),DATE(2025,MATCH(UPPER($U$10), {"JAN","FEB","MAR","APR","MAY","JUN","JUL","AUG","SEP","OCT","NOV","DEC"}, 0),(DAY($D19))),INDIRECT(_xlfn.CONCAT("'Order Tracker'!Q12:R",Data!$AM$3))))</f>
        <v>- -</v>
      </c>
      <c r="V19" s="160" t="str">
        <f ca="1">IF(SUMIF(INDIRECT(_xlfn.CONCAT("'Order Tracker'!E12:F",Data!$AM$3)),DATE(2025,MATCH(UPPER($U$10), {"JAN","FEB","MAR","APR","MAY","JUN","JUL","AUG","SEP","OCT","NOV","DEC"}, 0),(DAY($D19))),INDIRECT(_xlfn.CONCAT("'Order Tracker'!S12:T",Data!$AM$3)))=0,"- -",SUMIF(INDIRECT(_xlfn.CONCAT("'Order Tracker'!E12:F",Data!$AM$3)),DATE(2025,MATCH(UPPER($U$10), {"JAN","FEB","MAR","APR","MAY","JUN","JUL","AUG","SEP","OCT","NOV","DEC"}, 0),(DAY($D19))),INDIRECT(_xlfn.CONCAT("'Order Tracker'!S12:T",Data!$AM$3))))</f>
        <v>- -</v>
      </c>
      <c r="W19" s="156">
        <f t="shared" ca="1" si="4"/>
        <v>0</v>
      </c>
      <c r="X19" s="10"/>
      <c r="Y19" s="160" t="str">
        <f ca="1">IF(SUMIF(INDIRECT(_xlfn.CONCAT("'Order Tracker'!E12:F",Data!$AM$3)),DATE(2025,MATCH(UPPER($Y$10), {"JAN","FEB","MAR","APR","MAY","JUN","JUL","AUG","SEP","OCT","NOV","DEC"}, 0),(DAY($D19))),INDIRECT(_xlfn.CONCAT("'Order Tracker'!Q12:R",Data!$AM$3)))=0,"- -",SUMIF(INDIRECT(_xlfn.CONCAT("'Order Tracker'!E12:F",Data!$AM$3)),DATE(2025,MATCH(UPPER($Y$10), {"JAN","FEB","MAR","APR","MAY","JUN","JUL","AUG","SEP","OCT","NOV","DEC"}, 0),(DAY($D19))),INDIRECT(_xlfn.CONCAT("'Order Tracker'!Q12:R",Data!$AM$3))))</f>
        <v>- -</v>
      </c>
      <c r="Z19" s="160" t="str">
        <f ca="1">IF(SUMIF(INDIRECT(_xlfn.CONCAT("'Order Tracker'!E12:F",Data!$AM$3)),DATE(2025,MATCH(UPPER($Y$10), {"JAN","FEB","MAR","APR","MAY","JUN","JUL","AUG","SEP","OCT","NOV","DEC"}, 0),(DAY($D19))),INDIRECT(_xlfn.CONCAT("'Order Tracker'!S12:T",Data!$AM$3)))=0,"- -",SUMIF(INDIRECT(_xlfn.CONCAT("'Order Tracker'!E12:F",Data!$AM$3)),DATE(2025,MATCH(UPPER($Y$10), {"JAN","FEB","MAR","APR","MAY","JUN","JUL","AUG","SEP","OCT","NOV","DEC"}, 0),(DAY($D19))),INDIRECT(_xlfn.CONCAT("'Order Tracker'!S12:T",Data!$AM$3))))</f>
        <v>- -</v>
      </c>
      <c r="AA19" s="156">
        <f t="shared" ca="1" si="5"/>
        <v>0</v>
      </c>
      <c r="AB19" s="10"/>
      <c r="AC19" s="160" t="str">
        <f ca="1">IF(SUMIF(INDIRECT(_xlfn.CONCAT("'Order Tracker'!E12:F",Data!$AM$3)),DATE(2025,MATCH(UPPER($AC$10), {"JAN","FEB","MAR","APR","MAY","JUN","JUL","AUG","SEP","OCT","NOV","DEC"}, 0),(DAY($D19))),INDIRECT(_xlfn.CONCAT("'Order Tracker'!Q12:R",Data!$AM$3)))=0,"- -",SUMIF(INDIRECT(_xlfn.CONCAT("'Order Tracker'!E12:F",Data!$AM$3)),DATE(2025,MATCH(UPPER($AC$10), {"JAN","FEB","MAR","APR","MAY","JUN","JUL","AUG","SEP","OCT","NOV","DEC"}, 0),(DAY($D19))),INDIRECT(_xlfn.CONCAT("'Order Tracker'!Q12:R",Data!$AM$3))))</f>
        <v>- -</v>
      </c>
      <c r="AD19" s="160" t="str">
        <f ca="1">IF(SUMIF(INDIRECT(_xlfn.CONCAT("'Order Tracker'!E12:F",Data!$AM$3)),DATE(2025,MATCH(UPPER($AC$10), {"JAN","FEB","MAR","APR","MAY","JUN","JUL","AUG","SEP","OCT","NOV","DEC"}, 0),(DAY($D19))),INDIRECT(_xlfn.CONCAT("'Order Tracker'!S12:T",Data!$AM$3)))=0,"- -",SUMIF(INDIRECT(_xlfn.CONCAT("'Order Tracker'!E12:F",Data!$AM$3)),DATE(2025,MATCH(UPPER($AC$10), {"JAN","FEB","MAR","APR","MAY","JUN","JUL","AUG","SEP","OCT","NOV","DEC"}, 0),(DAY($D19))),INDIRECT(_xlfn.CONCAT("'Order Tracker'!S12:T",Data!$AM$3))))</f>
        <v>- -</v>
      </c>
      <c r="AE19" s="156">
        <f t="shared" ca="1" si="6"/>
        <v>0</v>
      </c>
      <c r="AF19" s="10"/>
      <c r="AG19" s="160" t="str">
        <f ca="1">IF(SUMIF(INDIRECT(_xlfn.CONCAT("'Order Tracker'!E12:F",Data!$AM$3)),DATE(2025,MATCH(UPPER($AG$10), {"JAN","FEB","MAR","APR","MAY","JUN","JUL","AUG","SEP","OCT","NOV","DEC"}, 0),(DAY($D19))),INDIRECT(_xlfn.CONCAT("'Order Tracker'!Q12:R",Data!$AM$3)))=0,"- -",SUMIF(INDIRECT(_xlfn.CONCAT("'Order Tracker'!E12:F",Data!$AM$3)),DATE(2025,MATCH(UPPER($AG$10), {"JAN","FEB","MAR","APR","MAY","JUN","JUL","AUG","SEP","OCT","NOV","DEC"}, 0),(DAY($D19))),INDIRECT(_xlfn.CONCAT("'Order Tracker'!Q12:R",Data!$AM$3))))</f>
        <v>- -</v>
      </c>
      <c r="AH19" s="160" t="str">
        <f ca="1">IF(SUMIF(INDIRECT(_xlfn.CONCAT("'Order Tracker'!E12:F",Data!$AM$3)),DATE(2025,MATCH(UPPER($AG$10), {"JAN","FEB","MAR","APR","MAY","JUN","JUL","AUG","SEP","OCT","NOV","DEC"}, 0),(DAY($D19))),INDIRECT(_xlfn.CONCAT("'Order Tracker'!S12:T",Data!$AM$3)))=0,"- -",SUMIF(INDIRECT(_xlfn.CONCAT("'Order Tracker'!E12:F",Data!$AM$3)),DATE(2025,MATCH(UPPER($AG$10), {"JAN","FEB","MAR","APR","MAY","JUN","JUL","AUG","SEP","OCT","NOV","DEC"}, 0),(DAY($D19))),INDIRECT(_xlfn.CONCAT("'Order Tracker'!S12:T",Data!$AM$3))))</f>
        <v>- -</v>
      </c>
      <c r="AI19" s="156">
        <f t="shared" ca="1" si="7"/>
        <v>0</v>
      </c>
      <c r="AJ19" s="10"/>
      <c r="AK19" s="160" t="str">
        <f ca="1">IF(SUMIF(INDIRECT(_xlfn.CONCAT("'Order Tracker'!E12:F",Data!$AM$3)),DATE(2025,MATCH(UPPER($AK$10), {"JAN","FEB","MAR","APR","MAY","JUN","JUL","AUG","SEP","OCT","NOV","DEC"}, 0),(DAY($D19))),INDIRECT(_xlfn.CONCAT("'Order Tracker'!Q12:R",Data!$AM$3)))=0,"- -",SUMIF(INDIRECT(_xlfn.CONCAT("'Order Tracker'!E12:F",Data!$AM$3)),DATE(2025,MATCH(UPPER($AK$10), {"JAN","FEB","MAR","APR","MAY","JUN","JUL","AUG","SEP","OCT","NOV","DEC"}, 0),(DAY($D19))),INDIRECT(_xlfn.CONCAT("'Order Tracker'!Q12:R",Data!$AM$3))))</f>
        <v>- -</v>
      </c>
      <c r="AL19" s="160" t="str">
        <f ca="1">IF(SUMIF(INDIRECT(_xlfn.CONCAT("'Order Tracker'!E12:F",Data!$AM$3)),DATE(2025,MATCH(UPPER($AK$10), {"JAN","FEB","MAR","APR","MAY","JUN","JUL","AUG","SEP","OCT","NOV","DEC"}, 0),(DAY($D19))),INDIRECT(_xlfn.CONCAT("'Order Tracker'!S12:T",Data!$AM$3)))=0,"- -",SUMIF(INDIRECT(_xlfn.CONCAT("'Order Tracker'!E12:F",Data!$AM$3)),DATE(2025,MATCH(UPPER($AK$10), {"JAN","FEB","MAR","APR","MAY","JUN","JUL","AUG","SEP","OCT","NOV","DEC"}, 0),(DAY($D19))),INDIRECT(_xlfn.CONCAT("'Order Tracker'!S12:T",Data!$AM$3))))</f>
        <v>- -</v>
      </c>
      <c r="AM19" s="156">
        <f t="shared" ca="1" si="8"/>
        <v>0</v>
      </c>
      <c r="AN19" s="10"/>
      <c r="AO19" s="160" t="str">
        <f ca="1">IF(SUMIF(INDIRECT(_xlfn.CONCAT("'Order Tracker'!E12:F",Data!$AM$3)),DATE(2025,MATCH(UPPER($AO$10), {"JAN","FEB","MAR","APR","MAY","JUN","JUL","AUG","SEP","OCT","NOV","DEC"}, 0),(DAY($D19))),INDIRECT(_xlfn.CONCAT("'Order Tracker'!Q12:R",Data!$AM$3)))=0,"- -",SUMIF(INDIRECT(_xlfn.CONCAT("'Order Tracker'!E12:F",Data!$AM$3)),DATE(2025,MATCH(UPPER($AO$10), {"JAN","FEB","MAR","APR","MAY","JUN","JUL","AUG","SEP","OCT","NOV","DEC"}, 0),(DAY($D19))),INDIRECT(_xlfn.CONCAT("'Order Tracker'!Q12:R",Data!$AM$3))))</f>
        <v>- -</v>
      </c>
      <c r="AP19" s="160" t="str">
        <f ca="1">IF(SUMIF(INDIRECT(_xlfn.CONCAT("'Order Tracker'!E12:F",Data!$AM$3)),DATE(2025,MATCH(UPPER($AO$10), {"JAN","FEB","MAR","APR","MAY","JUN","JUL","AUG","SEP","OCT","NOV","DEC"}, 0),(DAY($D19))),INDIRECT(_xlfn.CONCAT("'Order Tracker'!S12:T",Data!$AM$3)))=0,"- -",SUMIF(INDIRECT(_xlfn.CONCAT("'Order Tracker'!E12:F",Data!$AM$3)),DATE(2025,MATCH(UPPER($AO$10), {"JAN","FEB","MAR","APR","MAY","JUN","JUL","AUG","SEP","OCT","NOV","DEC"}, 0),(DAY($D19))),INDIRECT(_xlfn.CONCAT("'Order Tracker'!S12:T",Data!$AM$3))))</f>
        <v>- -</v>
      </c>
      <c r="AQ19" s="156">
        <f t="shared" ca="1" si="9"/>
        <v>0</v>
      </c>
      <c r="AR19" s="10"/>
      <c r="AS19" s="160" t="str">
        <f ca="1">IF(SUMIF(INDIRECT(_xlfn.CONCAT("'Order Tracker'!E12:F",Data!$AM$3)),DATE(2025,MATCH(UPPER($AS$10), {"JAN","FEB","MAR","APR","MAY","JUN","JUL","AUG","SEP","OCT","NOV","DEC"}, 0),(DAY($D19))),INDIRECT(_xlfn.CONCAT("'Order Tracker'!Q12:R",Data!$AM$3)))=0,"- -",SUMIF(INDIRECT(_xlfn.CONCAT("'Order Tracker'!E12:F",Data!$AM$3)),DATE(2025,MATCH(UPPER($AS$10), {"JAN","FEB","MAR","APR","MAY","JUN","JUL","AUG","SEP","OCT","NOV","DEC"}, 0),(DAY($D19))),INDIRECT(_xlfn.CONCAT("'Order Tracker'!Q12:R",Data!$AM$3))))</f>
        <v>- -</v>
      </c>
      <c r="AT19" s="160" t="str">
        <f ca="1">IF(SUMIF(INDIRECT(_xlfn.CONCAT("'Order Tracker'!E12:F",Data!$AM$3)),DATE(2025,MATCH(UPPER($AS$10), {"JAN","FEB","MAR","APR","MAY","JUN","JUL","AUG","SEP","OCT","NOV","DEC"}, 0),(DAY($D19))),INDIRECT(_xlfn.CONCAT("'Order Tracker'!S12:T",Data!$AM$3)))=0,"- -",SUMIF(INDIRECT(_xlfn.CONCAT("'Order Tracker'!E12:F",Data!$AM$3)),DATE(2025,MATCH(UPPER($AS$10), {"JAN","FEB","MAR","APR","MAY","JUN","JUL","AUG","SEP","OCT","NOV","DEC"}, 0),(DAY($D19))),INDIRECT(_xlfn.CONCAT("'Order Tracker'!S12:T",Data!$AM$3))))</f>
        <v>- -</v>
      </c>
      <c r="AU19" s="156">
        <f t="shared" ca="1" si="10"/>
        <v>0</v>
      </c>
      <c r="AV19" s="7"/>
      <c r="AW19" s="160" t="str">
        <f ca="1">IF(SUMIF(INDIRECT(_xlfn.CONCAT("'Order Tracker'!E12:F",Data!$AM$3)),DATE(2025,MATCH(UPPER($AW$10), {"JAN","FEB","MAR","APR","MAY","JUN","JUL","AUG","SEP","OCT","NOV","DEC"}, 0),(DAY($D19))),INDIRECT(_xlfn.CONCAT("'Order Tracker'!Q12:R",Data!$AM$3)))=0,"- -",SUMIF(INDIRECT(_xlfn.CONCAT("'Order Tracker'!E12:F",Data!$AM$3)),DATE(2025,MATCH(UPPER($AW$10), {"JAN","FEB","MAR","APR","MAY","JUN","JUL","AUG","SEP","OCT","NOV","DEC"}, 0),(DAY($D19))),INDIRECT(_xlfn.CONCAT("'Order Tracker'!Q12:R",Data!$AM$3))))</f>
        <v>- -</v>
      </c>
      <c r="AX19" s="160" t="str">
        <f ca="1">IF(SUMIF(INDIRECT(_xlfn.CONCAT("'Order Tracker'!E12:F",Data!$AM$3)),DATE(2025,MATCH(UPPER($AW$10), {"JAN","FEB","MAR","APR","MAY","JUN","JUL","AUG","SEP","OCT","NOV","DEC"}, 0),(DAY($D19))),INDIRECT(_xlfn.CONCAT("'Order Tracker'!S12:T",Data!$AM$3)))=0,"- -",SUMIF(INDIRECT(_xlfn.CONCAT("'Order Tracker'!E12:F",Data!$AM$3)),DATE(2025,MATCH(UPPER($AW$10), {"JAN","FEB","MAR","APR","MAY","JUN","JUL","AUG","SEP","OCT","NOV","DEC"}, 0),(DAY($D19))),INDIRECT(_xlfn.CONCAT("'Order Tracker'!S12:T",Data!$AM$3))))</f>
        <v>- -</v>
      </c>
      <c r="AY19" s="156">
        <f t="shared" ca="1" si="11"/>
        <v>0</v>
      </c>
      <c r="AZ19" s="109"/>
    </row>
    <row r="20" spans="4:52" ht="18" hidden="1" x14ac:dyDescent="0.2">
      <c r="D20" s="151">
        <v>7</v>
      </c>
      <c r="E20" s="160" t="str">
        <f ca="1">IF(SUMIF(INDIRECT(_xlfn.CONCAT("'Order Tracker'!E12:F",Data!$AM$3)),DATE(2025,MATCH(UPPER($E$10), {"JAN","FEB","MAR","APR","MAY","JUN","JUL","AUG","SEP","OCT","NOV","DEC"}, 0),(DAY($D20))),INDIRECT(_xlfn.CONCAT("'Order Tracker'!Q12:R",Data!$AM$3)))=0,"- -",SUMIF(INDIRECT(_xlfn.CONCAT("'Order Tracker'!E12:F",Data!$AM$3)),DATE(2025,MATCH(UPPER($E$10), {"JAN","FEB","MAR","APR","MAY","JUN","JUL","AUG","SEP","OCT","NOV","DEC"}, 0),(DAY($D20))),INDIRECT(_xlfn.CONCAT("'Order Tracker'!Q12:R",Data!$AM$3))))</f>
        <v>- -</v>
      </c>
      <c r="F20" s="160" t="str">
        <f ca="1">IF(SUMIF(INDIRECT(_xlfn.CONCAT("'Order Tracker'!E12:F",Data!$AM$3)),DATE(2025,MATCH(UPPER($E$10), {"JAN","FEB","MAR","APR","MAY","JUN","JUL","AUG","SEP","OCT","NOV","DEC"}, 0),(DAY($D20))),INDIRECT(_xlfn.CONCAT("'Order Tracker'!S12:T",Data!$AM$3)))=0,"- -",SUMIF(INDIRECT(_xlfn.CONCAT("'Order Tracker'!E12:F",Data!$AM$3)),DATE(2025,MATCH(UPPER($E$10), {"JAN","FEB","MAR","APR","MAY","JUN","JUL","AUG","SEP","OCT","NOV","DEC"}, 0),(DAY($D20))),INDIRECT(_xlfn.CONCAT("'Order Tracker'!S12:T",Data!$AM$3))))</f>
        <v>- -</v>
      </c>
      <c r="G20" s="156">
        <f t="shared" ca="1" si="0"/>
        <v>0</v>
      </c>
      <c r="H20" s="10"/>
      <c r="I20" s="160" t="str">
        <f ca="1">IF(SUMIF(INDIRECT(_xlfn.CONCAT("'Order Tracker'!E12:F",Data!$AM$3)),DATE(2025,MATCH(UPPER($I$10), {"JAN","FEB","MAR","APR","MAY","JUN","JUL","AUG","SEP","OCT","NOV","DEC"}, 0),(DAY($D20))),INDIRECT(_xlfn.CONCAT("'Order Tracker'!Q12:R",Data!$AM$3)))=0,"- -",SUMIF(INDIRECT(_xlfn.CONCAT("'Order Tracker'!E12:F",Data!$AM$3)),DATE(2025,MATCH(UPPER($I$10), {"JAN","FEB","MAR","APR","MAY","JUN","JUL","AUG","SEP","OCT","NOV","DEC"}, 0),(DAY($D20))),INDIRECT(_xlfn.CONCAT("'Order Tracker'!Q12:R",Data!$AM$3))))</f>
        <v>- -</v>
      </c>
      <c r="J20" s="160" t="str">
        <f ca="1">IF(SUMIF(INDIRECT(_xlfn.CONCAT("'Order Tracker'!E12:F",Data!$AM$3)),DATE(2025,MATCH(UPPER($I$10), {"JAN","FEB","MAR","APR","MAY","JUN","JUL","AUG","SEP","OCT","NOV","DEC"}, 0),(DAY($D20))),INDIRECT(_xlfn.CONCAT("'Order Tracker'!S12:T",Data!$AM$3)))=0,"- -",SUMIF(INDIRECT(_xlfn.CONCAT("'Order Tracker'!E12:F",Data!$AM$3)),DATE(2025,MATCH(UPPER($I$10), {"JAN","FEB","MAR","APR","MAY","JUN","JUL","AUG","SEP","OCT","NOV","DEC"}, 0),(DAY($D20))),INDIRECT(_xlfn.CONCAT("'Order Tracker'!S12:T",Data!$AM$3))))</f>
        <v>- -</v>
      </c>
      <c r="K20" s="156">
        <f t="shared" ca="1" si="1"/>
        <v>0</v>
      </c>
      <c r="L20" s="10"/>
      <c r="M20" s="160" t="str">
        <f ca="1">IF(SUMIF(INDIRECT(_xlfn.CONCAT("'Order Tracker'!E12:F",Data!$AM$3)),DATE(2025,MATCH(UPPER($M$10), {"JAN","FEB","MAR","APR","MAY","JUN","JUL","AUG","SEP","OCT","NOV","DEC"}, 0),(DAY($D20))),INDIRECT(_xlfn.CONCAT("'Order Tracker'!Q12:R",Data!$AM$3)))=0,"- -",SUMIF(INDIRECT(_xlfn.CONCAT("'Order Tracker'!E12:F",Data!$AM$3)),DATE(2025,MATCH(UPPER($M$10), {"JAN","FEB","MAR","APR","MAY","JUN","JUL","AUG","SEP","OCT","NOV","DEC"}, 0),(DAY($D20))),INDIRECT(_xlfn.CONCAT("'Order Tracker'!Q12:R",Data!$AM$3))))</f>
        <v>- -</v>
      </c>
      <c r="N20" s="160" t="str">
        <f ca="1">IF(SUMIF(INDIRECT(_xlfn.CONCAT("'Order Tracker'!E12:F",Data!$AM$3)),DATE(2025,MATCH(UPPER($M$10), {"JAN","FEB","MAR","APR","MAY","JUN","JUL","AUG","SEP","OCT","NOV","DEC"}, 0),(DAY($D20))),INDIRECT(_xlfn.CONCAT("'Order Tracker'!S12:T",Data!$AM$3)))=0,"- -",SUMIF(INDIRECT(_xlfn.CONCAT("'Order Tracker'!E12:F",Data!$AM$3)),DATE(2025,MATCH(UPPER($M$10), {"JAN","FEB","MAR","APR","MAY","JUN","JUL","AUG","SEP","OCT","NOV","DEC"}, 0),(DAY($D20))),INDIRECT(_xlfn.CONCAT("'Order Tracker'!S12:T",Data!$AM$3))))</f>
        <v>- -</v>
      </c>
      <c r="O20" s="156">
        <f t="shared" ca="1" si="2"/>
        <v>0</v>
      </c>
      <c r="P20" s="10"/>
      <c r="Q20" s="160" t="str">
        <f ca="1">IF(SUMIF(INDIRECT(_xlfn.CONCAT("'Order Tracker'!E12:F",Data!$AM$3)),DATE(2025,MATCH(UPPER($Q$10), {"JAN","FEB","MAR","APR","MAY","JUN","JUL","AUG","SEP","OCT","NOV","DEC"}, 0),(DAY($D20))),INDIRECT(_xlfn.CONCAT("'Order Tracker'!Q12:R",Data!$AM$3)))=0,"- -",SUMIF(INDIRECT(_xlfn.CONCAT("'Order Tracker'!E12:F",Data!$AM$3)),DATE(2025,MATCH(UPPER($Q$10), {"JAN","FEB","MAR","APR","MAY","JUN","JUL","AUG","SEP","OCT","NOV","DEC"}, 0),(DAY($D20))),INDIRECT(_xlfn.CONCAT("'Order Tracker'!Q12:R",Data!$AM$3))))</f>
        <v>- -</v>
      </c>
      <c r="R20" s="160" t="str">
        <f ca="1">IF(SUMIF(INDIRECT(_xlfn.CONCAT("'Order Tracker'!E12:F",Data!$AM$3)),DATE(2025,MATCH(UPPER($Q$10), {"JAN","FEB","MAR","APR","MAY","JUN","JUL","AUG","SEP","OCT","NOV","DEC"}, 0),(DAY($D20))),INDIRECT(_xlfn.CONCAT("'Order Tracker'!S12:T",Data!$AM$3)))=0,"- -",SUMIF(INDIRECT(_xlfn.CONCAT("'Order Tracker'!E12:F",Data!$AM$3)),DATE(2025,MATCH(UPPER($Q$10), {"JAN","FEB","MAR","APR","MAY","JUN","JUL","AUG","SEP","OCT","NOV","DEC"}, 0),(DAY($D20))),INDIRECT(_xlfn.CONCAT("'Order Tracker'!S12:T",Data!$AM$3))))</f>
        <v>- -</v>
      </c>
      <c r="S20" s="156">
        <f t="shared" ca="1" si="3"/>
        <v>0</v>
      </c>
      <c r="T20" s="10"/>
      <c r="U20" s="160" t="str">
        <f ca="1">IF(SUMIF(INDIRECT(_xlfn.CONCAT("'Order Tracker'!E12:F",Data!$AM$3)),DATE(2025,MATCH(UPPER($U$10), {"JAN","FEB","MAR","APR","MAY","JUN","JUL","AUG","SEP","OCT","NOV","DEC"}, 0),(DAY($D20))),INDIRECT(_xlfn.CONCAT("'Order Tracker'!Q12:R",Data!$AM$3)))=0,"- -",SUMIF(INDIRECT(_xlfn.CONCAT("'Order Tracker'!E12:F",Data!$AM$3)),DATE(2025,MATCH(UPPER($U$10), {"JAN","FEB","MAR","APR","MAY","JUN","JUL","AUG","SEP","OCT","NOV","DEC"}, 0),(DAY($D20))),INDIRECT(_xlfn.CONCAT("'Order Tracker'!Q12:R",Data!$AM$3))))</f>
        <v>- -</v>
      </c>
      <c r="V20" s="160" t="str">
        <f ca="1">IF(SUMIF(INDIRECT(_xlfn.CONCAT("'Order Tracker'!E12:F",Data!$AM$3)),DATE(2025,MATCH(UPPER($U$10), {"JAN","FEB","MAR","APR","MAY","JUN","JUL","AUG","SEP","OCT","NOV","DEC"}, 0),(DAY($D20))),INDIRECT(_xlfn.CONCAT("'Order Tracker'!S12:T",Data!$AM$3)))=0,"- -",SUMIF(INDIRECT(_xlfn.CONCAT("'Order Tracker'!E12:F",Data!$AM$3)),DATE(2025,MATCH(UPPER($U$10), {"JAN","FEB","MAR","APR","MAY","JUN","JUL","AUG","SEP","OCT","NOV","DEC"}, 0),(DAY($D20))),INDIRECT(_xlfn.CONCAT("'Order Tracker'!S12:T",Data!$AM$3))))</f>
        <v>- -</v>
      </c>
      <c r="W20" s="156">
        <f t="shared" ca="1" si="4"/>
        <v>0</v>
      </c>
      <c r="X20" s="10"/>
      <c r="Y20" s="160" t="str">
        <f ca="1">IF(SUMIF(INDIRECT(_xlfn.CONCAT("'Order Tracker'!E12:F",Data!$AM$3)),DATE(2025,MATCH(UPPER($Y$10), {"JAN","FEB","MAR","APR","MAY","JUN","JUL","AUG","SEP","OCT","NOV","DEC"}, 0),(DAY($D20))),INDIRECT(_xlfn.CONCAT("'Order Tracker'!Q12:R",Data!$AM$3)))=0,"- -",SUMIF(INDIRECT(_xlfn.CONCAT("'Order Tracker'!E12:F",Data!$AM$3)),DATE(2025,MATCH(UPPER($Y$10), {"JAN","FEB","MAR","APR","MAY","JUN","JUL","AUG","SEP","OCT","NOV","DEC"}, 0),(DAY($D20))),INDIRECT(_xlfn.CONCAT("'Order Tracker'!Q12:R",Data!$AM$3))))</f>
        <v>- -</v>
      </c>
      <c r="Z20" s="160" t="str">
        <f ca="1">IF(SUMIF(INDIRECT(_xlfn.CONCAT("'Order Tracker'!E12:F",Data!$AM$3)),DATE(2025,MATCH(UPPER($Y$10), {"JAN","FEB","MAR","APR","MAY","JUN","JUL","AUG","SEP","OCT","NOV","DEC"}, 0),(DAY($D20))),INDIRECT(_xlfn.CONCAT("'Order Tracker'!S12:T",Data!$AM$3)))=0,"- -",SUMIF(INDIRECT(_xlfn.CONCAT("'Order Tracker'!E12:F",Data!$AM$3)),DATE(2025,MATCH(UPPER($Y$10), {"JAN","FEB","MAR","APR","MAY","JUN","JUL","AUG","SEP","OCT","NOV","DEC"}, 0),(DAY($D20))),INDIRECT(_xlfn.CONCAT("'Order Tracker'!S12:T",Data!$AM$3))))</f>
        <v>- -</v>
      </c>
      <c r="AA20" s="156">
        <f t="shared" ca="1" si="5"/>
        <v>0</v>
      </c>
      <c r="AB20" s="10"/>
      <c r="AC20" s="160" t="str">
        <f ca="1">IF(SUMIF(INDIRECT(_xlfn.CONCAT("'Order Tracker'!E12:F",Data!$AM$3)),DATE(2025,MATCH(UPPER($AC$10), {"JAN","FEB","MAR","APR","MAY","JUN","JUL","AUG","SEP","OCT","NOV","DEC"}, 0),(DAY($D20))),INDIRECT(_xlfn.CONCAT("'Order Tracker'!Q12:R",Data!$AM$3)))=0,"- -",SUMIF(INDIRECT(_xlfn.CONCAT("'Order Tracker'!E12:F",Data!$AM$3)),DATE(2025,MATCH(UPPER($AC$10), {"JAN","FEB","MAR","APR","MAY","JUN","JUL","AUG","SEP","OCT","NOV","DEC"}, 0),(DAY($D20))),INDIRECT(_xlfn.CONCAT("'Order Tracker'!Q12:R",Data!$AM$3))))</f>
        <v>- -</v>
      </c>
      <c r="AD20" s="160" t="str">
        <f ca="1">IF(SUMIF(INDIRECT(_xlfn.CONCAT("'Order Tracker'!E12:F",Data!$AM$3)),DATE(2025,MATCH(UPPER($AC$10), {"JAN","FEB","MAR","APR","MAY","JUN","JUL","AUG","SEP","OCT","NOV","DEC"}, 0),(DAY($D20))),INDIRECT(_xlfn.CONCAT("'Order Tracker'!S12:T",Data!$AM$3)))=0,"- -",SUMIF(INDIRECT(_xlfn.CONCAT("'Order Tracker'!E12:F",Data!$AM$3)),DATE(2025,MATCH(UPPER($AC$10), {"JAN","FEB","MAR","APR","MAY","JUN","JUL","AUG","SEP","OCT","NOV","DEC"}, 0),(DAY($D20))),INDIRECT(_xlfn.CONCAT("'Order Tracker'!S12:T",Data!$AM$3))))</f>
        <v>- -</v>
      </c>
      <c r="AE20" s="156">
        <f t="shared" ca="1" si="6"/>
        <v>0</v>
      </c>
      <c r="AF20" s="10"/>
      <c r="AG20" s="160" t="str">
        <f ca="1">IF(SUMIF(INDIRECT(_xlfn.CONCAT("'Order Tracker'!E12:F",Data!$AM$3)),DATE(2025,MATCH(UPPER($AG$10), {"JAN","FEB","MAR","APR","MAY","JUN","JUL","AUG","SEP","OCT","NOV","DEC"}, 0),(DAY($D20))),INDIRECT(_xlfn.CONCAT("'Order Tracker'!Q12:R",Data!$AM$3)))=0,"- -",SUMIF(INDIRECT(_xlfn.CONCAT("'Order Tracker'!E12:F",Data!$AM$3)),DATE(2025,MATCH(UPPER($AG$10), {"JAN","FEB","MAR","APR","MAY","JUN","JUL","AUG","SEP","OCT","NOV","DEC"}, 0),(DAY($D20))),INDIRECT(_xlfn.CONCAT("'Order Tracker'!Q12:R",Data!$AM$3))))</f>
        <v>- -</v>
      </c>
      <c r="AH20" s="160" t="str">
        <f ca="1">IF(SUMIF(INDIRECT(_xlfn.CONCAT("'Order Tracker'!E12:F",Data!$AM$3)),DATE(2025,MATCH(UPPER($AG$10), {"JAN","FEB","MAR","APR","MAY","JUN","JUL","AUG","SEP","OCT","NOV","DEC"}, 0),(DAY($D20))),INDIRECT(_xlfn.CONCAT("'Order Tracker'!S12:T",Data!$AM$3)))=0,"- -",SUMIF(INDIRECT(_xlfn.CONCAT("'Order Tracker'!E12:F",Data!$AM$3)),DATE(2025,MATCH(UPPER($AG$10), {"JAN","FEB","MAR","APR","MAY","JUN","JUL","AUG","SEP","OCT","NOV","DEC"}, 0),(DAY($D20))),INDIRECT(_xlfn.CONCAT("'Order Tracker'!S12:T",Data!$AM$3))))</f>
        <v>- -</v>
      </c>
      <c r="AI20" s="156">
        <f t="shared" ca="1" si="7"/>
        <v>0</v>
      </c>
      <c r="AJ20" s="10"/>
      <c r="AK20" s="160" t="str">
        <f ca="1">IF(SUMIF(INDIRECT(_xlfn.CONCAT("'Order Tracker'!E12:F",Data!$AM$3)),DATE(2025,MATCH(UPPER($AK$10), {"JAN","FEB","MAR","APR","MAY","JUN","JUL","AUG","SEP","OCT","NOV","DEC"}, 0),(DAY($D20))),INDIRECT(_xlfn.CONCAT("'Order Tracker'!Q12:R",Data!$AM$3)))=0,"- -",SUMIF(INDIRECT(_xlfn.CONCAT("'Order Tracker'!E12:F",Data!$AM$3)),DATE(2025,MATCH(UPPER($AK$10), {"JAN","FEB","MAR","APR","MAY","JUN","JUL","AUG","SEP","OCT","NOV","DEC"}, 0),(DAY($D20))),INDIRECT(_xlfn.CONCAT("'Order Tracker'!Q12:R",Data!$AM$3))))</f>
        <v>- -</v>
      </c>
      <c r="AL20" s="160" t="str">
        <f ca="1">IF(SUMIF(INDIRECT(_xlfn.CONCAT("'Order Tracker'!E12:F",Data!$AM$3)),DATE(2025,MATCH(UPPER($AK$10), {"JAN","FEB","MAR","APR","MAY","JUN","JUL","AUG","SEP","OCT","NOV","DEC"}, 0),(DAY($D20))),INDIRECT(_xlfn.CONCAT("'Order Tracker'!S12:T",Data!$AM$3)))=0,"- -",SUMIF(INDIRECT(_xlfn.CONCAT("'Order Tracker'!E12:F",Data!$AM$3)),DATE(2025,MATCH(UPPER($AK$10), {"JAN","FEB","MAR","APR","MAY","JUN","JUL","AUG","SEP","OCT","NOV","DEC"}, 0),(DAY($D20))),INDIRECT(_xlfn.CONCAT("'Order Tracker'!S12:T",Data!$AM$3))))</f>
        <v>- -</v>
      </c>
      <c r="AM20" s="156">
        <f t="shared" ca="1" si="8"/>
        <v>0</v>
      </c>
      <c r="AN20" s="10"/>
      <c r="AO20" s="160" t="str">
        <f ca="1">IF(SUMIF(INDIRECT(_xlfn.CONCAT("'Order Tracker'!E12:F",Data!$AM$3)),DATE(2025,MATCH(UPPER($AO$10), {"JAN","FEB","MAR","APR","MAY","JUN","JUL","AUG","SEP","OCT","NOV","DEC"}, 0),(DAY($D20))),INDIRECT(_xlfn.CONCAT("'Order Tracker'!Q12:R",Data!$AM$3)))=0,"- -",SUMIF(INDIRECT(_xlfn.CONCAT("'Order Tracker'!E12:F",Data!$AM$3)),DATE(2025,MATCH(UPPER($AO$10), {"JAN","FEB","MAR","APR","MAY","JUN","JUL","AUG","SEP","OCT","NOV","DEC"}, 0),(DAY($D20))),INDIRECT(_xlfn.CONCAT("'Order Tracker'!Q12:R",Data!$AM$3))))</f>
        <v>- -</v>
      </c>
      <c r="AP20" s="160" t="str">
        <f ca="1">IF(SUMIF(INDIRECT(_xlfn.CONCAT("'Order Tracker'!E12:F",Data!$AM$3)),DATE(2025,MATCH(UPPER($AO$10), {"JAN","FEB","MAR","APR","MAY","JUN","JUL","AUG","SEP","OCT","NOV","DEC"}, 0),(DAY($D20))),INDIRECT(_xlfn.CONCAT("'Order Tracker'!S12:T",Data!$AM$3)))=0,"- -",SUMIF(INDIRECT(_xlfn.CONCAT("'Order Tracker'!E12:F",Data!$AM$3)),DATE(2025,MATCH(UPPER($AO$10), {"JAN","FEB","MAR","APR","MAY","JUN","JUL","AUG","SEP","OCT","NOV","DEC"}, 0),(DAY($D20))),INDIRECT(_xlfn.CONCAT("'Order Tracker'!S12:T",Data!$AM$3))))</f>
        <v>- -</v>
      </c>
      <c r="AQ20" s="156">
        <f t="shared" ca="1" si="9"/>
        <v>0</v>
      </c>
      <c r="AR20" s="10"/>
      <c r="AS20" s="160" t="str">
        <f ca="1">IF(SUMIF(INDIRECT(_xlfn.CONCAT("'Order Tracker'!E12:F",Data!$AM$3)),DATE(2025,MATCH(UPPER($AS$10), {"JAN","FEB","MAR","APR","MAY","JUN","JUL","AUG","SEP","OCT","NOV","DEC"}, 0),(DAY($D20))),INDIRECT(_xlfn.CONCAT("'Order Tracker'!Q12:R",Data!$AM$3)))=0,"- -",SUMIF(INDIRECT(_xlfn.CONCAT("'Order Tracker'!E12:F",Data!$AM$3)),DATE(2025,MATCH(UPPER($AS$10), {"JAN","FEB","MAR","APR","MAY","JUN","JUL","AUG","SEP","OCT","NOV","DEC"}, 0),(DAY($D20))),INDIRECT(_xlfn.CONCAT("'Order Tracker'!Q12:R",Data!$AM$3))))</f>
        <v>- -</v>
      </c>
      <c r="AT20" s="160" t="str">
        <f ca="1">IF(SUMIF(INDIRECT(_xlfn.CONCAT("'Order Tracker'!E12:F",Data!$AM$3)),DATE(2025,MATCH(UPPER($AS$10), {"JAN","FEB","MAR","APR","MAY","JUN","JUL","AUG","SEP","OCT","NOV","DEC"}, 0),(DAY($D20))),INDIRECT(_xlfn.CONCAT("'Order Tracker'!S12:T",Data!$AM$3)))=0,"- -",SUMIF(INDIRECT(_xlfn.CONCAT("'Order Tracker'!E12:F",Data!$AM$3)),DATE(2025,MATCH(UPPER($AS$10), {"JAN","FEB","MAR","APR","MAY","JUN","JUL","AUG","SEP","OCT","NOV","DEC"}, 0),(DAY($D20))),INDIRECT(_xlfn.CONCAT("'Order Tracker'!S12:T",Data!$AM$3))))</f>
        <v>- -</v>
      </c>
      <c r="AU20" s="156">
        <f t="shared" ca="1" si="10"/>
        <v>0</v>
      </c>
      <c r="AV20" s="7"/>
      <c r="AW20" s="160" t="str">
        <f ca="1">IF(SUMIF(INDIRECT(_xlfn.CONCAT("'Order Tracker'!E12:F",Data!$AM$3)),DATE(2025,MATCH(UPPER($AW$10), {"JAN","FEB","MAR","APR","MAY","JUN","JUL","AUG","SEP","OCT","NOV","DEC"}, 0),(DAY($D20))),INDIRECT(_xlfn.CONCAT("'Order Tracker'!Q12:R",Data!$AM$3)))=0,"- -",SUMIF(INDIRECT(_xlfn.CONCAT("'Order Tracker'!E12:F",Data!$AM$3)),DATE(2025,MATCH(UPPER($AW$10), {"JAN","FEB","MAR","APR","MAY","JUN","JUL","AUG","SEP","OCT","NOV","DEC"}, 0),(DAY($D20))),INDIRECT(_xlfn.CONCAT("'Order Tracker'!Q12:R",Data!$AM$3))))</f>
        <v>- -</v>
      </c>
      <c r="AX20" s="160" t="str">
        <f ca="1">IF(SUMIF(INDIRECT(_xlfn.CONCAT("'Order Tracker'!E12:F",Data!$AM$3)),DATE(2025,MATCH(UPPER($AW$10), {"JAN","FEB","MAR","APR","MAY","JUN","JUL","AUG","SEP","OCT","NOV","DEC"}, 0),(DAY($D20))),INDIRECT(_xlfn.CONCAT("'Order Tracker'!S12:T",Data!$AM$3)))=0,"- -",SUMIF(INDIRECT(_xlfn.CONCAT("'Order Tracker'!E12:F",Data!$AM$3)),DATE(2025,MATCH(UPPER($AW$10), {"JAN","FEB","MAR","APR","MAY","JUN","JUL","AUG","SEP","OCT","NOV","DEC"}, 0),(DAY($D20))),INDIRECT(_xlfn.CONCAT("'Order Tracker'!S12:T",Data!$AM$3))))</f>
        <v>- -</v>
      </c>
      <c r="AY20" s="156">
        <f t="shared" ca="1" si="11"/>
        <v>0</v>
      </c>
      <c r="AZ20" s="109"/>
    </row>
    <row r="21" spans="4:52" ht="18" hidden="1" x14ac:dyDescent="0.2">
      <c r="D21" s="151">
        <v>8</v>
      </c>
      <c r="E21" s="160" t="str">
        <f ca="1">IF(SUMIF(INDIRECT(_xlfn.CONCAT("'Order Tracker'!E12:F",Data!$AM$3)),DATE(2025,MATCH(UPPER($E$10), {"JAN","FEB","MAR","APR","MAY","JUN","JUL","AUG","SEP","OCT","NOV","DEC"}, 0),(DAY($D21))),INDIRECT(_xlfn.CONCAT("'Order Tracker'!Q12:R",Data!$AM$3)))=0,"- -",SUMIF(INDIRECT(_xlfn.CONCAT("'Order Tracker'!E12:F",Data!$AM$3)),DATE(2025,MATCH(UPPER($E$10), {"JAN","FEB","MAR","APR","MAY","JUN","JUL","AUG","SEP","OCT","NOV","DEC"}, 0),(DAY($D21))),INDIRECT(_xlfn.CONCAT("'Order Tracker'!Q12:R",Data!$AM$3))))</f>
        <v>- -</v>
      </c>
      <c r="F21" s="160" t="str">
        <f ca="1">IF(SUMIF(INDIRECT(_xlfn.CONCAT("'Order Tracker'!E12:F",Data!$AM$3)),DATE(2025,MATCH(UPPER($E$10), {"JAN","FEB","MAR","APR","MAY","JUN","JUL","AUG","SEP","OCT","NOV","DEC"}, 0),(DAY($D21))),INDIRECT(_xlfn.CONCAT("'Order Tracker'!S12:T",Data!$AM$3)))=0,"- -",SUMIF(INDIRECT(_xlfn.CONCAT("'Order Tracker'!E12:F",Data!$AM$3)),DATE(2025,MATCH(UPPER($E$10), {"JAN","FEB","MAR","APR","MAY","JUN","JUL","AUG","SEP","OCT","NOV","DEC"}, 0),(DAY($D21))),INDIRECT(_xlfn.CONCAT("'Order Tracker'!S12:T",Data!$AM$3))))</f>
        <v>- -</v>
      </c>
      <c r="G21" s="156">
        <f t="shared" ca="1" si="0"/>
        <v>0</v>
      </c>
      <c r="H21" s="10"/>
      <c r="I21" s="160" t="str">
        <f ca="1">IF(SUMIF(INDIRECT(_xlfn.CONCAT("'Order Tracker'!E12:F",Data!$AM$3)),DATE(2025,MATCH(UPPER($I$10), {"JAN","FEB","MAR","APR","MAY","JUN","JUL","AUG","SEP","OCT","NOV","DEC"}, 0),(DAY($D21))),INDIRECT(_xlfn.CONCAT("'Order Tracker'!Q12:R",Data!$AM$3)))=0,"- -",SUMIF(INDIRECT(_xlfn.CONCAT("'Order Tracker'!E12:F",Data!$AM$3)),DATE(2025,MATCH(UPPER($I$10), {"JAN","FEB","MAR","APR","MAY","JUN","JUL","AUG","SEP","OCT","NOV","DEC"}, 0),(DAY($D21))),INDIRECT(_xlfn.CONCAT("'Order Tracker'!Q12:R",Data!$AM$3))))</f>
        <v>- -</v>
      </c>
      <c r="J21" s="160" t="str">
        <f ca="1">IF(SUMIF(INDIRECT(_xlfn.CONCAT("'Order Tracker'!E12:F",Data!$AM$3)),DATE(2025,MATCH(UPPER($I$10), {"JAN","FEB","MAR","APR","MAY","JUN","JUL","AUG","SEP","OCT","NOV","DEC"}, 0),(DAY($D21))),INDIRECT(_xlfn.CONCAT("'Order Tracker'!S12:T",Data!$AM$3)))=0,"- -",SUMIF(INDIRECT(_xlfn.CONCAT("'Order Tracker'!E12:F",Data!$AM$3)),DATE(2025,MATCH(UPPER($I$10), {"JAN","FEB","MAR","APR","MAY","JUN","JUL","AUG","SEP","OCT","NOV","DEC"}, 0),(DAY($D21))),INDIRECT(_xlfn.CONCAT("'Order Tracker'!S12:T",Data!$AM$3))))</f>
        <v>- -</v>
      </c>
      <c r="K21" s="156">
        <f t="shared" ca="1" si="1"/>
        <v>0</v>
      </c>
      <c r="L21" s="10"/>
      <c r="M21" s="160" t="str">
        <f ca="1">IF(SUMIF(INDIRECT(_xlfn.CONCAT("'Order Tracker'!E12:F",Data!$AM$3)),DATE(2025,MATCH(UPPER($M$10), {"JAN","FEB","MAR","APR","MAY","JUN","JUL","AUG","SEP","OCT","NOV","DEC"}, 0),(DAY($D21))),INDIRECT(_xlfn.CONCAT("'Order Tracker'!Q12:R",Data!$AM$3)))=0,"- -",SUMIF(INDIRECT(_xlfn.CONCAT("'Order Tracker'!E12:F",Data!$AM$3)),DATE(2025,MATCH(UPPER($M$10), {"JAN","FEB","MAR","APR","MAY","JUN","JUL","AUG","SEP","OCT","NOV","DEC"}, 0),(DAY($D21))),INDIRECT(_xlfn.CONCAT("'Order Tracker'!Q12:R",Data!$AM$3))))</f>
        <v>- -</v>
      </c>
      <c r="N21" s="160" t="str">
        <f ca="1">IF(SUMIF(INDIRECT(_xlfn.CONCAT("'Order Tracker'!E12:F",Data!$AM$3)),DATE(2025,MATCH(UPPER($M$10), {"JAN","FEB","MAR","APR","MAY","JUN","JUL","AUG","SEP","OCT","NOV","DEC"}, 0),(DAY($D21))),INDIRECT(_xlfn.CONCAT("'Order Tracker'!S12:T",Data!$AM$3)))=0,"- -",SUMIF(INDIRECT(_xlfn.CONCAT("'Order Tracker'!E12:F",Data!$AM$3)),DATE(2025,MATCH(UPPER($M$10), {"JAN","FEB","MAR","APR","MAY","JUN","JUL","AUG","SEP","OCT","NOV","DEC"}, 0),(DAY($D21))),INDIRECT(_xlfn.CONCAT("'Order Tracker'!S12:T",Data!$AM$3))))</f>
        <v>- -</v>
      </c>
      <c r="O21" s="156">
        <f t="shared" ca="1" si="2"/>
        <v>0</v>
      </c>
      <c r="P21" s="10"/>
      <c r="Q21" s="160" t="str">
        <f ca="1">IF(SUMIF(INDIRECT(_xlfn.CONCAT("'Order Tracker'!E12:F",Data!$AM$3)),DATE(2025,MATCH(UPPER($Q$10), {"JAN","FEB","MAR","APR","MAY","JUN","JUL","AUG","SEP","OCT","NOV","DEC"}, 0),(DAY($D21))),INDIRECT(_xlfn.CONCAT("'Order Tracker'!Q12:R",Data!$AM$3)))=0,"- -",SUMIF(INDIRECT(_xlfn.CONCAT("'Order Tracker'!E12:F",Data!$AM$3)),DATE(2025,MATCH(UPPER($Q$10), {"JAN","FEB","MAR","APR","MAY","JUN","JUL","AUG","SEP","OCT","NOV","DEC"}, 0),(DAY($D21))),INDIRECT(_xlfn.CONCAT("'Order Tracker'!Q12:R",Data!$AM$3))))</f>
        <v>- -</v>
      </c>
      <c r="R21" s="160" t="str">
        <f ca="1">IF(SUMIF(INDIRECT(_xlfn.CONCAT("'Order Tracker'!E12:F",Data!$AM$3)),DATE(2025,MATCH(UPPER($Q$10), {"JAN","FEB","MAR","APR","MAY","JUN","JUL","AUG","SEP","OCT","NOV","DEC"}, 0),(DAY($D21))),INDIRECT(_xlfn.CONCAT("'Order Tracker'!S12:T",Data!$AM$3)))=0,"- -",SUMIF(INDIRECT(_xlfn.CONCAT("'Order Tracker'!E12:F",Data!$AM$3)),DATE(2025,MATCH(UPPER($Q$10), {"JAN","FEB","MAR","APR","MAY","JUN","JUL","AUG","SEP","OCT","NOV","DEC"}, 0),(DAY($D21))),INDIRECT(_xlfn.CONCAT("'Order Tracker'!S12:T",Data!$AM$3))))</f>
        <v>- -</v>
      </c>
      <c r="S21" s="156">
        <f t="shared" ca="1" si="3"/>
        <v>0</v>
      </c>
      <c r="T21" s="10"/>
      <c r="U21" s="160" t="str">
        <f ca="1">IF(SUMIF(INDIRECT(_xlfn.CONCAT("'Order Tracker'!E12:F",Data!$AM$3)),DATE(2025,MATCH(UPPER($U$10), {"JAN","FEB","MAR","APR","MAY","JUN","JUL","AUG","SEP","OCT","NOV","DEC"}, 0),(DAY($D21))),INDIRECT(_xlfn.CONCAT("'Order Tracker'!Q12:R",Data!$AM$3)))=0,"- -",SUMIF(INDIRECT(_xlfn.CONCAT("'Order Tracker'!E12:F",Data!$AM$3)),DATE(2025,MATCH(UPPER($U$10), {"JAN","FEB","MAR","APR","MAY","JUN","JUL","AUG","SEP","OCT","NOV","DEC"}, 0),(DAY($D21))),INDIRECT(_xlfn.CONCAT("'Order Tracker'!Q12:R",Data!$AM$3))))</f>
        <v>- -</v>
      </c>
      <c r="V21" s="160" t="str">
        <f ca="1">IF(SUMIF(INDIRECT(_xlfn.CONCAT("'Order Tracker'!E12:F",Data!$AM$3)),DATE(2025,MATCH(UPPER($U$10), {"JAN","FEB","MAR","APR","MAY","JUN","JUL","AUG","SEP","OCT","NOV","DEC"}, 0),(DAY($D21))),INDIRECT(_xlfn.CONCAT("'Order Tracker'!S12:T",Data!$AM$3)))=0,"- -",SUMIF(INDIRECT(_xlfn.CONCAT("'Order Tracker'!E12:F",Data!$AM$3)),DATE(2025,MATCH(UPPER($U$10), {"JAN","FEB","MAR","APR","MAY","JUN","JUL","AUG","SEP","OCT","NOV","DEC"}, 0),(DAY($D21))),INDIRECT(_xlfn.CONCAT("'Order Tracker'!S12:T",Data!$AM$3))))</f>
        <v>- -</v>
      </c>
      <c r="W21" s="156">
        <f t="shared" ca="1" si="4"/>
        <v>0</v>
      </c>
      <c r="X21" s="10"/>
      <c r="Y21" s="160" t="str">
        <f ca="1">IF(SUMIF(INDIRECT(_xlfn.CONCAT("'Order Tracker'!E12:F",Data!$AM$3)),DATE(2025,MATCH(UPPER($Y$10), {"JAN","FEB","MAR","APR","MAY","JUN","JUL","AUG","SEP","OCT","NOV","DEC"}, 0),(DAY($D21))),INDIRECT(_xlfn.CONCAT("'Order Tracker'!Q12:R",Data!$AM$3)))=0,"- -",SUMIF(INDIRECT(_xlfn.CONCAT("'Order Tracker'!E12:F",Data!$AM$3)),DATE(2025,MATCH(UPPER($Y$10), {"JAN","FEB","MAR","APR","MAY","JUN","JUL","AUG","SEP","OCT","NOV","DEC"}, 0),(DAY($D21))),INDIRECT(_xlfn.CONCAT("'Order Tracker'!Q12:R",Data!$AM$3))))</f>
        <v>- -</v>
      </c>
      <c r="Z21" s="160" t="str">
        <f ca="1">IF(SUMIF(INDIRECT(_xlfn.CONCAT("'Order Tracker'!E12:F",Data!$AM$3)),DATE(2025,MATCH(UPPER($Y$10), {"JAN","FEB","MAR","APR","MAY","JUN","JUL","AUG","SEP","OCT","NOV","DEC"}, 0),(DAY($D21))),INDIRECT(_xlfn.CONCAT("'Order Tracker'!S12:T",Data!$AM$3)))=0,"- -",SUMIF(INDIRECT(_xlfn.CONCAT("'Order Tracker'!E12:F",Data!$AM$3)),DATE(2025,MATCH(UPPER($Y$10), {"JAN","FEB","MAR","APR","MAY","JUN","JUL","AUG","SEP","OCT","NOV","DEC"}, 0),(DAY($D21))),INDIRECT(_xlfn.CONCAT("'Order Tracker'!S12:T",Data!$AM$3))))</f>
        <v>- -</v>
      </c>
      <c r="AA21" s="156">
        <f t="shared" ca="1" si="5"/>
        <v>0</v>
      </c>
      <c r="AB21" s="10"/>
      <c r="AC21" s="160" t="str">
        <f ca="1">IF(SUMIF(INDIRECT(_xlfn.CONCAT("'Order Tracker'!E12:F",Data!$AM$3)),DATE(2025,MATCH(UPPER($AC$10), {"JAN","FEB","MAR","APR","MAY","JUN","JUL","AUG","SEP","OCT","NOV","DEC"}, 0),(DAY($D21))),INDIRECT(_xlfn.CONCAT("'Order Tracker'!Q12:R",Data!$AM$3)))=0,"- -",SUMIF(INDIRECT(_xlfn.CONCAT("'Order Tracker'!E12:F",Data!$AM$3)),DATE(2025,MATCH(UPPER($AC$10), {"JAN","FEB","MAR","APR","MAY","JUN","JUL","AUG","SEP","OCT","NOV","DEC"}, 0),(DAY($D21))),INDIRECT(_xlfn.CONCAT("'Order Tracker'!Q12:R",Data!$AM$3))))</f>
        <v>- -</v>
      </c>
      <c r="AD21" s="160" t="str">
        <f ca="1">IF(SUMIF(INDIRECT(_xlfn.CONCAT("'Order Tracker'!E12:F",Data!$AM$3)),DATE(2025,MATCH(UPPER($AC$10), {"JAN","FEB","MAR","APR","MAY","JUN","JUL","AUG","SEP","OCT","NOV","DEC"}, 0),(DAY($D21))),INDIRECT(_xlfn.CONCAT("'Order Tracker'!S12:T",Data!$AM$3)))=0,"- -",SUMIF(INDIRECT(_xlfn.CONCAT("'Order Tracker'!E12:F",Data!$AM$3)),DATE(2025,MATCH(UPPER($AC$10), {"JAN","FEB","MAR","APR","MAY","JUN","JUL","AUG","SEP","OCT","NOV","DEC"}, 0),(DAY($D21))),INDIRECT(_xlfn.CONCAT("'Order Tracker'!S12:T",Data!$AM$3))))</f>
        <v>- -</v>
      </c>
      <c r="AE21" s="156">
        <f t="shared" ca="1" si="6"/>
        <v>0</v>
      </c>
      <c r="AF21" s="10"/>
      <c r="AG21" s="160" t="str">
        <f ca="1">IF(SUMIF(INDIRECT(_xlfn.CONCAT("'Order Tracker'!E12:F",Data!$AM$3)),DATE(2025,MATCH(UPPER($AG$10), {"JAN","FEB","MAR","APR","MAY","JUN","JUL","AUG","SEP","OCT","NOV","DEC"}, 0),(DAY($D21))),INDIRECT(_xlfn.CONCAT("'Order Tracker'!Q12:R",Data!$AM$3)))=0,"- -",SUMIF(INDIRECT(_xlfn.CONCAT("'Order Tracker'!E12:F",Data!$AM$3)),DATE(2025,MATCH(UPPER($AG$10), {"JAN","FEB","MAR","APR","MAY","JUN","JUL","AUG","SEP","OCT","NOV","DEC"}, 0),(DAY($D21))),INDIRECT(_xlfn.CONCAT("'Order Tracker'!Q12:R",Data!$AM$3))))</f>
        <v>- -</v>
      </c>
      <c r="AH21" s="160" t="str">
        <f ca="1">IF(SUMIF(INDIRECT(_xlfn.CONCAT("'Order Tracker'!E12:F",Data!$AM$3)),DATE(2025,MATCH(UPPER($AG$10), {"JAN","FEB","MAR","APR","MAY","JUN","JUL","AUG","SEP","OCT","NOV","DEC"}, 0),(DAY($D21))),INDIRECT(_xlfn.CONCAT("'Order Tracker'!S12:T",Data!$AM$3)))=0,"- -",SUMIF(INDIRECT(_xlfn.CONCAT("'Order Tracker'!E12:F",Data!$AM$3)),DATE(2025,MATCH(UPPER($AG$10), {"JAN","FEB","MAR","APR","MAY","JUN","JUL","AUG","SEP","OCT","NOV","DEC"}, 0),(DAY($D21))),INDIRECT(_xlfn.CONCAT("'Order Tracker'!S12:T",Data!$AM$3))))</f>
        <v>- -</v>
      </c>
      <c r="AI21" s="156">
        <f t="shared" ca="1" si="7"/>
        <v>0</v>
      </c>
      <c r="AJ21" s="10"/>
      <c r="AK21" s="160" t="str">
        <f ca="1">IF(SUMIF(INDIRECT(_xlfn.CONCAT("'Order Tracker'!E12:F",Data!$AM$3)),DATE(2025,MATCH(UPPER($AK$10), {"JAN","FEB","MAR","APR","MAY","JUN","JUL","AUG","SEP","OCT","NOV","DEC"}, 0),(DAY($D21))),INDIRECT(_xlfn.CONCAT("'Order Tracker'!Q12:R",Data!$AM$3)))=0,"- -",SUMIF(INDIRECT(_xlfn.CONCAT("'Order Tracker'!E12:F",Data!$AM$3)),DATE(2025,MATCH(UPPER($AK$10), {"JAN","FEB","MAR","APR","MAY","JUN","JUL","AUG","SEP","OCT","NOV","DEC"}, 0),(DAY($D21))),INDIRECT(_xlfn.CONCAT("'Order Tracker'!Q12:R",Data!$AM$3))))</f>
        <v>- -</v>
      </c>
      <c r="AL21" s="160" t="str">
        <f ca="1">IF(SUMIF(INDIRECT(_xlfn.CONCAT("'Order Tracker'!E12:F",Data!$AM$3)),DATE(2025,MATCH(UPPER($AK$10), {"JAN","FEB","MAR","APR","MAY","JUN","JUL","AUG","SEP","OCT","NOV","DEC"}, 0),(DAY($D21))),INDIRECT(_xlfn.CONCAT("'Order Tracker'!S12:T",Data!$AM$3)))=0,"- -",SUMIF(INDIRECT(_xlfn.CONCAT("'Order Tracker'!E12:F",Data!$AM$3)),DATE(2025,MATCH(UPPER($AK$10), {"JAN","FEB","MAR","APR","MAY","JUN","JUL","AUG","SEP","OCT","NOV","DEC"}, 0),(DAY($D21))),INDIRECT(_xlfn.CONCAT("'Order Tracker'!S12:T",Data!$AM$3))))</f>
        <v>- -</v>
      </c>
      <c r="AM21" s="156">
        <f t="shared" ca="1" si="8"/>
        <v>0</v>
      </c>
      <c r="AN21" s="10"/>
      <c r="AO21" s="160" t="str">
        <f ca="1">IF(SUMIF(INDIRECT(_xlfn.CONCAT("'Order Tracker'!E12:F",Data!$AM$3)),DATE(2025,MATCH(UPPER($AO$10), {"JAN","FEB","MAR","APR","MAY","JUN","JUL","AUG","SEP","OCT","NOV","DEC"}, 0),(DAY($D21))),INDIRECT(_xlfn.CONCAT("'Order Tracker'!Q12:R",Data!$AM$3)))=0,"- -",SUMIF(INDIRECT(_xlfn.CONCAT("'Order Tracker'!E12:F",Data!$AM$3)),DATE(2025,MATCH(UPPER($AO$10), {"JAN","FEB","MAR","APR","MAY","JUN","JUL","AUG","SEP","OCT","NOV","DEC"}, 0),(DAY($D21))),INDIRECT(_xlfn.CONCAT("'Order Tracker'!Q12:R",Data!$AM$3))))</f>
        <v>- -</v>
      </c>
      <c r="AP21" s="160" t="str">
        <f ca="1">IF(SUMIF(INDIRECT(_xlfn.CONCAT("'Order Tracker'!E12:F",Data!$AM$3)),DATE(2025,MATCH(UPPER($AO$10), {"JAN","FEB","MAR","APR","MAY","JUN","JUL","AUG","SEP","OCT","NOV","DEC"}, 0),(DAY($D21))),INDIRECT(_xlfn.CONCAT("'Order Tracker'!S12:T",Data!$AM$3)))=0,"- -",SUMIF(INDIRECT(_xlfn.CONCAT("'Order Tracker'!E12:F",Data!$AM$3)),DATE(2025,MATCH(UPPER($AO$10), {"JAN","FEB","MAR","APR","MAY","JUN","JUL","AUG","SEP","OCT","NOV","DEC"}, 0),(DAY($D21))),INDIRECT(_xlfn.CONCAT("'Order Tracker'!S12:T",Data!$AM$3))))</f>
        <v>- -</v>
      </c>
      <c r="AQ21" s="156">
        <f t="shared" ca="1" si="9"/>
        <v>0</v>
      </c>
      <c r="AR21" s="10"/>
      <c r="AS21" s="160" t="str">
        <f ca="1">IF(SUMIF(INDIRECT(_xlfn.CONCAT("'Order Tracker'!E12:F",Data!$AM$3)),DATE(2025,MATCH(UPPER($AS$10), {"JAN","FEB","MAR","APR","MAY","JUN","JUL","AUG","SEP","OCT","NOV","DEC"}, 0),(DAY($D21))),INDIRECT(_xlfn.CONCAT("'Order Tracker'!Q12:R",Data!$AM$3)))=0,"- -",SUMIF(INDIRECT(_xlfn.CONCAT("'Order Tracker'!E12:F",Data!$AM$3)),DATE(2025,MATCH(UPPER($AS$10), {"JAN","FEB","MAR","APR","MAY","JUN","JUL","AUG","SEP","OCT","NOV","DEC"}, 0),(DAY($D21))),INDIRECT(_xlfn.CONCAT("'Order Tracker'!Q12:R",Data!$AM$3))))</f>
        <v>- -</v>
      </c>
      <c r="AT21" s="160" t="str">
        <f ca="1">IF(SUMIF(INDIRECT(_xlfn.CONCAT("'Order Tracker'!E12:F",Data!$AM$3)),DATE(2025,MATCH(UPPER($AS$10), {"JAN","FEB","MAR","APR","MAY","JUN","JUL","AUG","SEP","OCT","NOV","DEC"}, 0),(DAY($D21))),INDIRECT(_xlfn.CONCAT("'Order Tracker'!S12:T",Data!$AM$3)))=0,"- -",SUMIF(INDIRECT(_xlfn.CONCAT("'Order Tracker'!E12:F",Data!$AM$3)),DATE(2025,MATCH(UPPER($AS$10), {"JAN","FEB","MAR","APR","MAY","JUN","JUL","AUG","SEP","OCT","NOV","DEC"}, 0),(DAY($D21))),INDIRECT(_xlfn.CONCAT("'Order Tracker'!S12:T",Data!$AM$3))))</f>
        <v>- -</v>
      </c>
      <c r="AU21" s="156">
        <f t="shared" ca="1" si="10"/>
        <v>0</v>
      </c>
      <c r="AV21" s="7"/>
      <c r="AW21" s="160" t="str">
        <f ca="1">IF(SUMIF(INDIRECT(_xlfn.CONCAT("'Order Tracker'!E12:F",Data!$AM$3)),DATE(2025,MATCH(UPPER($AW$10), {"JAN","FEB","MAR","APR","MAY","JUN","JUL","AUG","SEP","OCT","NOV","DEC"}, 0),(DAY($D21))),INDIRECT(_xlfn.CONCAT("'Order Tracker'!Q12:R",Data!$AM$3)))=0,"- -",SUMIF(INDIRECT(_xlfn.CONCAT("'Order Tracker'!E12:F",Data!$AM$3)),DATE(2025,MATCH(UPPER($AW$10), {"JAN","FEB","MAR","APR","MAY","JUN","JUL","AUG","SEP","OCT","NOV","DEC"}, 0),(DAY($D21))),INDIRECT(_xlfn.CONCAT("'Order Tracker'!Q12:R",Data!$AM$3))))</f>
        <v>- -</v>
      </c>
      <c r="AX21" s="160" t="str">
        <f ca="1">IF(SUMIF(INDIRECT(_xlfn.CONCAT("'Order Tracker'!E12:F",Data!$AM$3)),DATE(2025,MATCH(UPPER($AW$10), {"JAN","FEB","MAR","APR","MAY","JUN","JUL","AUG","SEP","OCT","NOV","DEC"}, 0),(DAY($D21))),INDIRECT(_xlfn.CONCAT("'Order Tracker'!S12:T",Data!$AM$3)))=0,"- -",SUMIF(INDIRECT(_xlfn.CONCAT("'Order Tracker'!E12:F",Data!$AM$3)),DATE(2025,MATCH(UPPER($AW$10), {"JAN","FEB","MAR","APR","MAY","JUN","JUL","AUG","SEP","OCT","NOV","DEC"}, 0),(DAY($D21))),INDIRECT(_xlfn.CONCAT("'Order Tracker'!S12:T",Data!$AM$3))))</f>
        <v>- -</v>
      </c>
      <c r="AY21" s="156">
        <f t="shared" ca="1" si="11"/>
        <v>0</v>
      </c>
      <c r="AZ21" s="109"/>
    </row>
    <row r="22" spans="4:52" ht="18" hidden="1" x14ac:dyDescent="0.2">
      <c r="D22" s="151">
        <v>9</v>
      </c>
      <c r="E22" s="160" t="str">
        <f ca="1">IF(SUMIF(INDIRECT(_xlfn.CONCAT("'Order Tracker'!E12:F",Data!$AM$3)),DATE(2025,MATCH(UPPER($E$10), {"JAN","FEB","MAR","APR","MAY","JUN","JUL","AUG","SEP","OCT","NOV","DEC"}, 0),(DAY($D22))),INDIRECT(_xlfn.CONCAT("'Order Tracker'!Q12:R",Data!$AM$3)))=0,"- -",SUMIF(INDIRECT(_xlfn.CONCAT("'Order Tracker'!E12:F",Data!$AM$3)),DATE(2025,MATCH(UPPER($E$10), {"JAN","FEB","MAR","APR","MAY","JUN","JUL","AUG","SEP","OCT","NOV","DEC"}, 0),(DAY($D22))),INDIRECT(_xlfn.CONCAT("'Order Tracker'!Q12:R",Data!$AM$3))))</f>
        <v>- -</v>
      </c>
      <c r="F22" s="160" t="str">
        <f ca="1">IF(SUMIF(INDIRECT(_xlfn.CONCAT("'Order Tracker'!E12:F",Data!$AM$3)),DATE(2025,MATCH(UPPER($E$10), {"JAN","FEB","MAR","APR","MAY","JUN","JUL","AUG","SEP","OCT","NOV","DEC"}, 0),(DAY($D22))),INDIRECT(_xlfn.CONCAT("'Order Tracker'!S12:T",Data!$AM$3)))=0,"- -",SUMIF(INDIRECT(_xlfn.CONCAT("'Order Tracker'!E12:F",Data!$AM$3)),DATE(2025,MATCH(UPPER($E$10), {"JAN","FEB","MAR","APR","MAY","JUN","JUL","AUG","SEP","OCT","NOV","DEC"}, 0),(DAY($D22))),INDIRECT(_xlfn.CONCAT("'Order Tracker'!S12:T",Data!$AM$3))))</f>
        <v>- -</v>
      </c>
      <c r="G22" s="156">
        <f t="shared" ca="1" si="0"/>
        <v>0</v>
      </c>
      <c r="H22" s="10"/>
      <c r="I22" s="160" t="str">
        <f ca="1">IF(SUMIF(INDIRECT(_xlfn.CONCAT("'Order Tracker'!E12:F",Data!$AM$3)),DATE(2025,MATCH(UPPER($I$10), {"JAN","FEB","MAR","APR","MAY","JUN","JUL","AUG","SEP","OCT","NOV","DEC"}, 0),(DAY($D22))),INDIRECT(_xlfn.CONCAT("'Order Tracker'!Q12:R",Data!$AM$3)))=0,"- -",SUMIF(INDIRECT(_xlfn.CONCAT("'Order Tracker'!E12:F",Data!$AM$3)),DATE(2025,MATCH(UPPER($I$10), {"JAN","FEB","MAR","APR","MAY","JUN","JUL","AUG","SEP","OCT","NOV","DEC"}, 0),(DAY($D22))),INDIRECT(_xlfn.CONCAT("'Order Tracker'!Q12:R",Data!$AM$3))))</f>
        <v>- -</v>
      </c>
      <c r="J22" s="160" t="str">
        <f ca="1">IF(SUMIF(INDIRECT(_xlfn.CONCAT("'Order Tracker'!E12:F",Data!$AM$3)),DATE(2025,MATCH(UPPER($I$10), {"JAN","FEB","MAR","APR","MAY","JUN","JUL","AUG","SEP","OCT","NOV","DEC"}, 0),(DAY($D22))),INDIRECT(_xlfn.CONCAT("'Order Tracker'!S12:T",Data!$AM$3)))=0,"- -",SUMIF(INDIRECT(_xlfn.CONCAT("'Order Tracker'!E12:F",Data!$AM$3)),DATE(2025,MATCH(UPPER($I$10), {"JAN","FEB","MAR","APR","MAY","JUN","JUL","AUG","SEP","OCT","NOV","DEC"}, 0),(DAY($D22))),INDIRECT(_xlfn.CONCAT("'Order Tracker'!S12:T",Data!$AM$3))))</f>
        <v>- -</v>
      </c>
      <c r="K22" s="156">
        <f t="shared" ca="1" si="1"/>
        <v>0</v>
      </c>
      <c r="L22" s="10"/>
      <c r="M22" s="160" t="str">
        <f ca="1">IF(SUMIF(INDIRECT(_xlfn.CONCAT("'Order Tracker'!E12:F",Data!$AM$3)),DATE(2025,MATCH(UPPER($M$10), {"JAN","FEB","MAR","APR","MAY","JUN","JUL","AUG","SEP","OCT","NOV","DEC"}, 0),(DAY($D22))),INDIRECT(_xlfn.CONCAT("'Order Tracker'!Q12:R",Data!$AM$3)))=0,"- -",SUMIF(INDIRECT(_xlfn.CONCAT("'Order Tracker'!E12:F",Data!$AM$3)),DATE(2025,MATCH(UPPER($M$10), {"JAN","FEB","MAR","APR","MAY","JUN","JUL","AUG","SEP","OCT","NOV","DEC"}, 0),(DAY($D22))),INDIRECT(_xlfn.CONCAT("'Order Tracker'!Q12:R",Data!$AM$3))))</f>
        <v>- -</v>
      </c>
      <c r="N22" s="160" t="str">
        <f ca="1">IF(SUMIF(INDIRECT(_xlfn.CONCAT("'Order Tracker'!E12:F",Data!$AM$3)),DATE(2025,MATCH(UPPER($M$10), {"JAN","FEB","MAR","APR","MAY","JUN","JUL","AUG","SEP","OCT","NOV","DEC"}, 0),(DAY($D22))),INDIRECT(_xlfn.CONCAT("'Order Tracker'!S12:T",Data!$AM$3)))=0,"- -",SUMIF(INDIRECT(_xlfn.CONCAT("'Order Tracker'!E12:F",Data!$AM$3)),DATE(2025,MATCH(UPPER($M$10), {"JAN","FEB","MAR","APR","MAY","JUN","JUL","AUG","SEP","OCT","NOV","DEC"}, 0),(DAY($D22))),INDIRECT(_xlfn.CONCAT("'Order Tracker'!S12:T",Data!$AM$3))))</f>
        <v>- -</v>
      </c>
      <c r="O22" s="156">
        <f t="shared" ca="1" si="2"/>
        <v>0</v>
      </c>
      <c r="P22" s="10"/>
      <c r="Q22" s="160" t="str">
        <f ca="1">IF(SUMIF(INDIRECT(_xlfn.CONCAT("'Order Tracker'!E12:F",Data!$AM$3)),DATE(2025,MATCH(UPPER($Q$10), {"JAN","FEB","MAR","APR","MAY","JUN","JUL","AUG","SEP","OCT","NOV","DEC"}, 0),(DAY($D22))),INDIRECT(_xlfn.CONCAT("'Order Tracker'!Q12:R",Data!$AM$3)))=0,"- -",SUMIF(INDIRECT(_xlfn.CONCAT("'Order Tracker'!E12:F",Data!$AM$3)),DATE(2025,MATCH(UPPER($Q$10), {"JAN","FEB","MAR","APR","MAY","JUN","JUL","AUG","SEP","OCT","NOV","DEC"}, 0),(DAY($D22))),INDIRECT(_xlfn.CONCAT("'Order Tracker'!Q12:R",Data!$AM$3))))</f>
        <v>- -</v>
      </c>
      <c r="R22" s="160" t="str">
        <f ca="1">IF(SUMIF(INDIRECT(_xlfn.CONCAT("'Order Tracker'!E12:F",Data!$AM$3)),DATE(2025,MATCH(UPPER($Q$10), {"JAN","FEB","MAR","APR","MAY","JUN","JUL","AUG","SEP","OCT","NOV","DEC"}, 0),(DAY($D22))),INDIRECT(_xlfn.CONCAT("'Order Tracker'!S12:T",Data!$AM$3)))=0,"- -",SUMIF(INDIRECT(_xlfn.CONCAT("'Order Tracker'!E12:F",Data!$AM$3)),DATE(2025,MATCH(UPPER($Q$10), {"JAN","FEB","MAR","APR","MAY","JUN","JUL","AUG","SEP","OCT","NOV","DEC"}, 0),(DAY($D22))),INDIRECT(_xlfn.CONCAT("'Order Tracker'!S12:T",Data!$AM$3))))</f>
        <v>- -</v>
      </c>
      <c r="S22" s="156">
        <f t="shared" ca="1" si="3"/>
        <v>0</v>
      </c>
      <c r="T22" s="10"/>
      <c r="U22" s="160" t="str">
        <f ca="1">IF(SUMIF(INDIRECT(_xlfn.CONCAT("'Order Tracker'!E12:F",Data!$AM$3)),DATE(2025,MATCH(UPPER($U$10), {"JAN","FEB","MAR","APR","MAY","JUN","JUL","AUG","SEP","OCT","NOV","DEC"}, 0),(DAY($D22))),INDIRECT(_xlfn.CONCAT("'Order Tracker'!Q12:R",Data!$AM$3)))=0,"- -",SUMIF(INDIRECT(_xlfn.CONCAT("'Order Tracker'!E12:F",Data!$AM$3)),DATE(2025,MATCH(UPPER($U$10), {"JAN","FEB","MAR","APR","MAY","JUN","JUL","AUG","SEP","OCT","NOV","DEC"}, 0),(DAY($D22))),INDIRECT(_xlfn.CONCAT("'Order Tracker'!Q12:R",Data!$AM$3))))</f>
        <v>- -</v>
      </c>
      <c r="V22" s="160" t="str">
        <f ca="1">IF(SUMIF(INDIRECT(_xlfn.CONCAT("'Order Tracker'!E12:F",Data!$AM$3)),DATE(2025,MATCH(UPPER($U$10), {"JAN","FEB","MAR","APR","MAY","JUN","JUL","AUG","SEP","OCT","NOV","DEC"}, 0),(DAY($D22))),INDIRECT(_xlfn.CONCAT("'Order Tracker'!S12:T",Data!$AM$3)))=0,"- -",SUMIF(INDIRECT(_xlfn.CONCAT("'Order Tracker'!E12:F",Data!$AM$3)),DATE(2025,MATCH(UPPER($U$10), {"JAN","FEB","MAR","APR","MAY","JUN","JUL","AUG","SEP","OCT","NOV","DEC"}, 0),(DAY($D22))),INDIRECT(_xlfn.CONCAT("'Order Tracker'!S12:T",Data!$AM$3))))</f>
        <v>- -</v>
      </c>
      <c r="W22" s="156">
        <f t="shared" ca="1" si="4"/>
        <v>0</v>
      </c>
      <c r="X22" s="10"/>
      <c r="Y22" s="160" t="str">
        <f ca="1">IF(SUMIF(INDIRECT(_xlfn.CONCAT("'Order Tracker'!E12:F",Data!$AM$3)),DATE(2025,MATCH(UPPER($Y$10), {"JAN","FEB","MAR","APR","MAY","JUN","JUL","AUG","SEP","OCT","NOV","DEC"}, 0),(DAY($D22))),INDIRECT(_xlfn.CONCAT("'Order Tracker'!Q12:R",Data!$AM$3)))=0,"- -",SUMIF(INDIRECT(_xlfn.CONCAT("'Order Tracker'!E12:F",Data!$AM$3)),DATE(2025,MATCH(UPPER($Y$10), {"JAN","FEB","MAR","APR","MAY","JUN","JUL","AUG","SEP","OCT","NOV","DEC"}, 0),(DAY($D22))),INDIRECT(_xlfn.CONCAT("'Order Tracker'!Q12:R",Data!$AM$3))))</f>
        <v>- -</v>
      </c>
      <c r="Z22" s="160" t="str">
        <f ca="1">IF(SUMIF(INDIRECT(_xlfn.CONCAT("'Order Tracker'!E12:F",Data!$AM$3)),DATE(2025,MATCH(UPPER($Y$10), {"JAN","FEB","MAR","APR","MAY","JUN","JUL","AUG","SEP","OCT","NOV","DEC"}, 0),(DAY($D22))),INDIRECT(_xlfn.CONCAT("'Order Tracker'!S12:T",Data!$AM$3)))=0,"- -",SUMIF(INDIRECT(_xlfn.CONCAT("'Order Tracker'!E12:F",Data!$AM$3)),DATE(2025,MATCH(UPPER($Y$10), {"JAN","FEB","MAR","APR","MAY","JUN","JUL","AUG","SEP","OCT","NOV","DEC"}, 0),(DAY($D22))),INDIRECT(_xlfn.CONCAT("'Order Tracker'!S12:T",Data!$AM$3))))</f>
        <v>- -</v>
      </c>
      <c r="AA22" s="156">
        <f t="shared" ca="1" si="5"/>
        <v>0</v>
      </c>
      <c r="AB22" s="10"/>
      <c r="AC22" s="160" t="str">
        <f ca="1">IF(SUMIF(INDIRECT(_xlfn.CONCAT("'Order Tracker'!E12:F",Data!$AM$3)),DATE(2025,MATCH(UPPER($AC$10), {"JAN","FEB","MAR","APR","MAY","JUN","JUL","AUG","SEP","OCT","NOV","DEC"}, 0),(DAY($D22))),INDIRECT(_xlfn.CONCAT("'Order Tracker'!Q12:R",Data!$AM$3)))=0,"- -",SUMIF(INDIRECT(_xlfn.CONCAT("'Order Tracker'!E12:F",Data!$AM$3)),DATE(2025,MATCH(UPPER($AC$10), {"JAN","FEB","MAR","APR","MAY","JUN","JUL","AUG","SEP","OCT","NOV","DEC"}, 0),(DAY($D22))),INDIRECT(_xlfn.CONCAT("'Order Tracker'!Q12:R",Data!$AM$3))))</f>
        <v>- -</v>
      </c>
      <c r="AD22" s="160" t="str">
        <f ca="1">IF(SUMIF(INDIRECT(_xlfn.CONCAT("'Order Tracker'!E12:F",Data!$AM$3)),DATE(2025,MATCH(UPPER($AC$10), {"JAN","FEB","MAR","APR","MAY","JUN","JUL","AUG","SEP","OCT","NOV","DEC"}, 0),(DAY($D22))),INDIRECT(_xlfn.CONCAT("'Order Tracker'!S12:T",Data!$AM$3)))=0,"- -",SUMIF(INDIRECT(_xlfn.CONCAT("'Order Tracker'!E12:F",Data!$AM$3)),DATE(2025,MATCH(UPPER($AC$10), {"JAN","FEB","MAR","APR","MAY","JUN","JUL","AUG","SEP","OCT","NOV","DEC"}, 0),(DAY($D22))),INDIRECT(_xlfn.CONCAT("'Order Tracker'!S12:T",Data!$AM$3))))</f>
        <v>- -</v>
      </c>
      <c r="AE22" s="156">
        <f t="shared" ca="1" si="6"/>
        <v>0</v>
      </c>
      <c r="AF22" s="10"/>
      <c r="AG22" s="160" t="str">
        <f ca="1">IF(SUMIF(INDIRECT(_xlfn.CONCAT("'Order Tracker'!E12:F",Data!$AM$3)),DATE(2025,MATCH(UPPER($AG$10), {"JAN","FEB","MAR","APR","MAY","JUN","JUL","AUG","SEP","OCT","NOV","DEC"}, 0),(DAY($D22))),INDIRECT(_xlfn.CONCAT("'Order Tracker'!Q12:R",Data!$AM$3)))=0,"- -",SUMIF(INDIRECT(_xlfn.CONCAT("'Order Tracker'!E12:F",Data!$AM$3)),DATE(2025,MATCH(UPPER($AG$10), {"JAN","FEB","MAR","APR","MAY","JUN","JUL","AUG","SEP","OCT","NOV","DEC"}, 0),(DAY($D22))),INDIRECT(_xlfn.CONCAT("'Order Tracker'!Q12:R",Data!$AM$3))))</f>
        <v>- -</v>
      </c>
      <c r="AH22" s="160" t="str">
        <f ca="1">IF(SUMIF(INDIRECT(_xlfn.CONCAT("'Order Tracker'!E12:F",Data!$AM$3)),DATE(2025,MATCH(UPPER($AG$10), {"JAN","FEB","MAR","APR","MAY","JUN","JUL","AUG","SEP","OCT","NOV","DEC"}, 0),(DAY($D22))),INDIRECT(_xlfn.CONCAT("'Order Tracker'!S12:T",Data!$AM$3)))=0,"- -",SUMIF(INDIRECT(_xlfn.CONCAT("'Order Tracker'!E12:F",Data!$AM$3)),DATE(2025,MATCH(UPPER($AG$10), {"JAN","FEB","MAR","APR","MAY","JUN","JUL","AUG","SEP","OCT","NOV","DEC"}, 0),(DAY($D22))),INDIRECT(_xlfn.CONCAT("'Order Tracker'!S12:T",Data!$AM$3))))</f>
        <v>- -</v>
      </c>
      <c r="AI22" s="156">
        <f t="shared" ca="1" si="7"/>
        <v>0</v>
      </c>
      <c r="AJ22" s="10"/>
      <c r="AK22" s="160" t="str">
        <f ca="1">IF(SUMIF(INDIRECT(_xlfn.CONCAT("'Order Tracker'!E12:F",Data!$AM$3)),DATE(2025,MATCH(UPPER($AK$10), {"JAN","FEB","MAR","APR","MAY","JUN","JUL","AUG","SEP","OCT","NOV","DEC"}, 0),(DAY($D22))),INDIRECT(_xlfn.CONCAT("'Order Tracker'!Q12:R",Data!$AM$3)))=0,"- -",SUMIF(INDIRECT(_xlfn.CONCAT("'Order Tracker'!E12:F",Data!$AM$3)),DATE(2025,MATCH(UPPER($AK$10), {"JAN","FEB","MAR","APR","MAY","JUN","JUL","AUG","SEP","OCT","NOV","DEC"}, 0),(DAY($D22))),INDIRECT(_xlfn.CONCAT("'Order Tracker'!Q12:R",Data!$AM$3))))</f>
        <v>- -</v>
      </c>
      <c r="AL22" s="160" t="str">
        <f ca="1">IF(SUMIF(INDIRECT(_xlfn.CONCAT("'Order Tracker'!E12:F",Data!$AM$3)),DATE(2025,MATCH(UPPER($AK$10), {"JAN","FEB","MAR","APR","MAY","JUN","JUL","AUG","SEP","OCT","NOV","DEC"}, 0),(DAY($D22))),INDIRECT(_xlfn.CONCAT("'Order Tracker'!S12:T",Data!$AM$3)))=0,"- -",SUMIF(INDIRECT(_xlfn.CONCAT("'Order Tracker'!E12:F",Data!$AM$3)),DATE(2025,MATCH(UPPER($AK$10), {"JAN","FEB","MAR","APR","MAY","JUN","JUL","AUG","SEP","OCT","NOV","DEC"}, 0),(DAY($D22))),INDIRECT(_xlfn.CONCAT("'Order Tracker'!S12:T",Data!$AM$3))))</f>
        <v>- -</v>
      </c>
      <c r="AM22" s="156">
        <f t="shared" ca="1" si="8"/>
        <v>0</v>
      </c>
      <c r="AN22" s="10"/>
      <c r="AO22" s="160" t="str">
        <f ca="1">IF(SUMIF(INDIRECT(_xlfn.CONCAT("'Order Tracker'!E12:F",Data!$AM$3)),DATE(2025,MATCH(UPPER($AO$10), {"JAN","FEB","MAR","APR","MAY","JUN","JUL","AUG","SEP","OCT","NOV","DEC"}, 0),(DAY($D22))),INDIRECT(_xlfn.CONCAT("'Order Tracker'!Q12:R",Data!$AM$3)))=0,"- -",SUMIF(INDIRECT(_xlfn.CONCAT("'Order Tracker'!E12:F",Data!$AM$3)),DATE(2025,MATCH(UPPER($AO$10), {"JAN","FEB","MAR","APR","MAY","JUN","JUL","AUG","SEP","OCT","NOV","DEC"}, 0),(DAY($D22))),INDIRECT(_xlfn.CONCAT("'Order Tracker'!Q12:R",Data!$AM$3))))</f>
        <v>- -</v>
      </c>
      <c r="AP22" s="160" t="str">
        <f ca="1">IF(SUMIF(INDIRECT(_xlfn.CONCAT("'Order Tracker'!E12:F",Data!$AM$3)),DATE(2025,MATCH(UPPER($AO$10), {"JAN","FEB","MAR","APR","MAY","JUN","JUL","AUG","SEP","OCT","NOV","DEC"}, 0),(DAY($D22))),INDIRECT(_xlfn.CONCAT("'Order Tracker'!S12:T",Data!$AM$3)))=0,"- -",SUMIF(INDIRECT(_xlfn.CONCAT("'Order Tracker'!E12:F",Data!$AM$3)),DATE(2025,MATCH(UPPER($AO$10), {"JAN","FEB","MAR","APR","MAY","JUN","JUL","AUG","SEP","OCT","NOV","DEC"}, 0),(DAY($D22))),INDIRECT(_xlfn.CONCAT("'Order Tracker'!S12:T",Data!$AM$3))))</f>
        <v>- -</v>
      </c>
      <c r="AQ22" s="156">
        <f t="shared" ca="1" si="9"/>
        <v>0</v>
      </c>
      <c r="AR22" s="10"/>
      <c r="AS22" s="160" t="str">
        <f ca="1">IF(SUMIF(INDIRECT(_xlfn.CONCAT("'Order Tracker'!E12:F",Data!$AM$3)),DATE(2025,MATCH(UPPER($AS$10), {"JAN","FEB","MAR","APR","MAY","JUN","JUL","AUG","SEP","OCT","NOV","DEC"}, 0),(DAY($D22))),INDIRECT(_xlfn.CONCAT("'Order Tracker'!Q12:R",Data!$AM$3)))=0,"- -",SUMIF(INDIRECT(_xlfn.CONCAT("'Order Tracker'!E12:F",Data!$AM$3)),DATE(2025,MATCH(UPPER($AS$10), {"JAN","FEB","MAR","APR","MAY","JUN","JUL","AUG","SEP","OCT","NOV","DEC"}, 0),(DAY($D22))),INDIRECT(_xlfn.CONCAT("'Order Tracker'!Q12:R",Data!$AM$3))))</f>
        <v>- -</v>
      </c>
      <c r="AT22" s="160" t="str">
        <f ca="1">IF(SUMIF(INDIRECT(_xlfn.CONCAT("'Order Tracker'!E12:F",Data!$AM$3)),DATE(2025,MATCH(UPPER($AS$10), {"JAN","FEB","MAR","APR","MAY","JUN","JUL","AUG","SEP","OCT","NOV","DEC"}, 0),(DAY($D22))),INDIRECT(_xlfn.CONCAT("'Order Tracker'!S12:T",Data!$AM$3)))=0,"- -",SUMIF(INDIRECT(_xlfn.CONCAT("'Order Tracker'!E12:F",Data!$AM$3)),DATE(2025,MATCH(UPPER($AS$10), {"JAN","FEB","MAR","APR","MAY","JUN","JUL","AUG","SEP","OCT","NOV","DEC"}, 0),(DAY($D22))),INDIRECT(_xlfn.CONCAT("'Order Tracker'!S12:T",Data!$AM$3))))</f>
        <v>- -</v>
      </c>
      <c r="AU22" s="156">
        <f t="shared" ca="1" si="10"/>
        <v>0</v>
      </c>
      <c r="AV22" s="7"/>
      <c r="AW22" s="160" t="str">
        <f ca="1">IF(SUMIF(INDIRECT(_xlfn.CONCAT("'Order Tracker'!E12:F",Data!$AM$3)),DATE(2025,MATCH(UPPER($AW$10), {"JAN","FEB","MAR","APR","MAY","JUN","JUL","AUG","SEP","OCT","NOV","DEC"}, 0),(DAY($D22))),INDIRECT(_xlfn.CONCAT("'Order Tracker'!Q12:R",Data!$AM$3)))=0,"- -",SUMIF(INDIRECT(_xlfn.CONCAT("'Order Tracker'!E12:F",Data!$AM$3)),DATE(2025,MATCH(UPPER($AW$10), {"JAN","FEB","MAR","APR","MAY","JUN","JUL","AUG","SEP","OCT","NOV","DEC"}, 0),(DAY($D22))),INDIRECT(_xlfn.CONCAT("'Order Tracker'!Q12:R",Data!$AM$3))))</f>
        <v>- -</v>
      </c>
      <c r="AX22" s="160" t="str">
        <f ca="1">IF(SUMIF(INDIRECT(_xlfn.CONCAT("'Order Tracker'!E12:F",Data!$AM$3)),DATE(2025,MATCH(UPPER($AW$10), {"JAN","FEB","MAR","APR","MAY","JUN","JUL","AUG","SEP","OCT","NOV","DEC"}, 0),(DAY($D22))),INDIRECT(_xlfn.CONCAT("'Order Tracker'!S12:T",Data!$AM$3)))=0,"- -",SUMIF(INDIRECT(_xlfn.CONCAT("'Order Tracker'!E12:F",Data!$AM$3)),DATE(2025,MATCH(UPPER($AW$10), {"JAN","FEB","MAR","APR","MAY","JUN","JUL","AUG","SEP","OCT","NOV","DEC"}, 0),(DAY($D22))),INDIRECT(_xlfn.CONCAT("'Order Tracker'!S12:T",Data!$AM$3))))</f>
        <v>- -</v>
      </c>
      <c r="AY22" s="156">
        <f t="shared" ca="1" si="11"/>
        <v>0</v>
      </c>
      <c r="AZ22" s="109"/>
    </row>
    <row r="23" spans="4:52" ht="18" hidden="1" x14ac:dyDescent="0.2">
      <c r="D23" s="151">
        <v>10</v>
      </c>
      <c r="E23" s="160" t="str">
        <f ca="1">IF(SUMIF(INDIRECT(_xlfn.CONCAT("'Order Tracker'!E12:F",Data!$AM$3)),DATE(2025,MATCH(UPPER($E$10), {"JAN","FEB","MAR","APR","MAY","JUN","JUL","AUG","SEP","OCT","NOV","DEC"}, 0),(DAY($D23))),INDIRECT(_xlfn.CONCAT("'Order Tracker'!Q12:R",Data!$AM$3)))=0,"- -",SUMIF(INDIRECT(_xlfn.CONCAT("'Order Tracker'!E12:F",Data!$AM$3)),DATE(2025,MATCH(UPPER($E$10), {"JAN","FEB","MAR","APR","MAY","JUN","JUL","AUG","SEP","OCT","NOV","DEC"}, 0),(DAY($D23))),INDIRECT(_xlfn.CONCAT("'Order Tracker'!Q12:R",Data!$AM$3))))</f>
        <v>- -</v>
      </c>
      <c r="F23" s="160" t="str">
        <f ca="1">IF(SUMIF(INDIRECT(_xlfn.CONCAT("'Order Tracker'!E12:F",Data!$AM$3)),DATE(2025,MATCH(UPPER($E$10), {"JAN","FEB","MAR","APR","MAY","JUN","JUL","AUG","SEP","OCT","NOV","DEC"}, 0),(DAY($D23))),INDIRECT(_xlfn.CONCAT("'Order Tracker'!S12:T",Data!$AM$3)))=0,"- -",SUMIF(INDIRECT(_xlfn.CONCAT("'Order Tracker'!E12:F",Data!$AM$3)),DATE(2025,MATCH(UPPER($E$10), {"JAN","FEB","MAR","APR","MAY","JUN","JUL","AUG","SEP","OCT","NOV","DEC"}, 0),(DAY($D23))),INDIRECT(_xlfn.CONCAT("'Order Tracker'!S12:T",Data!$AM$3))))</f>
        <v>- -</v>
      </c>
      <c r="G23" s="156">
        <f t="shared" ca="1" si="0"/>
        <v>0</v>
      </c>
      <c r="H23" s="10"/>
      <c r="I23" s="160" t="str">
        <f ca="1">IF(SUMIF(INDIRECT(_xlfn.CONCAT("'Order Tracker'!E12:F",Data!$AM$3)),DATE(2025,MATCH(UPPER($I$10), {"JAN","FEB","MAR","APR","MAY","JUN","JUL","AUG","SEP","OCT","NOV","DEC"}, 0),(DAY($D23))),INDIRECT(_xlfn.CONCAT("'Order Tracker'!Q12:R",Data!$AM$3)))=0,"- -",SUMIF(INDIRECT(_xlfn.CONCAT("'Order Tracker'!E12:F",Data!$AM$3)),DATE(2025,MATCH(UPPER($I$10), {"JAN","FEB","MAR","APR","MAY","JUN","JUL","AUG","SEP","OCT","NOV","DEC"}, 0),(DAY($D23))),INDIRECT(_xlfn.CONCAT("'Order Tracker'!Q12:R",Data!$AM$3))))</f>
        <v>- -</v>
      </c>
      <c r="J23" s="160" t="str">
        <f ca="1">IF(SUMIF(INDIRECT(_xlfn.CONCAT("'Order Tracker'!E12:F",Data!$AM$3)),DATE(2025,MATCH(UPPER($I$10), {"JAN","FEB","MAR","APR","MAY","JUN","JUL","AUG","SEP","OCT","NOV","DEC"}, 0),(DAY($D23))),INDIRECT(_xlfn.CONCAT("'Order Tracker'!S12:T",Data!$AM$3)))=0,"- -",SUMIF(INDIRECT(_xlfn.CONCAT("'Order Tracker'!E12:F",Data!$AM$3)),DATE(2025,MATCH(UPPER($I$10), {"JAN","FEB","MAR","APR","MAY","JUN","JUL","AUG","SEP","OCT","NOV","DEC"}, 0),(DAY($D23))),INDIRECT(_xlfn.CONCAT("'Order Tracker'!S12:T",Data!$AM$3))))</f>
        <v>- -</v>
      </c>
      <c r="K23" s="156">
        <f t="shared" ca="1" si="1"/>
        <v>0</v>
      </c>
      <c r="L23" s="10"/>
      <c r="M23" s="160" t="str">
        <f ca="1">IF(SUMIF(INDIRECT(_xlfn.CONCAT("'Order Tracker'!E12:F",Data!$AM$3)),DATE(2025,MATCH(UPPER($M$10), {"JAN","FEB","MAR","APR","MAY","JUN","JUL","AUG","SEP","OCT","NOV","DEC"}, 0),(DAY($D23))),INDIRECT(_xlfn.CONCAT("'Order Tracker'!Q12:R",Data!$AM$3)))=0,"- -",SUMIF(INDIRECT(_xlfn.CONCAT("'Order Tracker'!E12:F",Data!$AM$3)),DATE(2025,MATCH(UPPER($M$10), {"JAN","FEB","MAR","APR","MAY","JUN","JUL","AUG","SEP","OCT","NOV","DEC"}, 0),(DAY($D23))),INDIRECT(_xlfn.CONCAT("'Order Tracker'!Q12:R",Data!$AM$3))))</f>
        <v>- -</v>
      </c>
      <c r="N23" s="160" t="str">
        <f ca="1">IF(SUMIF(INDIRECT(_xlfn.CONCAT("'Order Tracker'!E12:F",Data!$AM$3)),DATE(2025,MATCH(UPPER($M$10), {"JAN","FEB","MAR","APR","MAY","JUN","JUL","AUG","SEP","OCT","NOV","DEC"}, 0),(DAY($D23))),INDIRECT(_xlfn.CONCAT("'Order Tracker'!S12:T",Data!$AM$3)))=0,"- -",SUMIF(INDIRECT(_xlfn.CONCAT("'Order Tracker'!E12:F",Data!$AM$3)),DATE(2025,MATCH(UPPER($M$10), {"JAN","FEB","MAR","APR","MAY","JUN","JUL","AUG","SEP","OCT","NOV","DEC"}, 0),(DAY($D23))),INDIRECT(_xlfn.CONCAT("'Order Tracker'!S12:T",Data!$AM$3))))</f>
        <v>- -</v>
      </c>
      <c r="O23" s="156">
        <f t="shared" ca="1" si="2"/>
        <v>0</v>
      </c>
      <c r="P23" s="10"/>
      <c r="Q23" s="160" t="str">
        <f ca="1">IF(SUMIF(INDIRECT(_xlfn.CONCAT("'Order Tracker'!E12:F",Data!$AM$3)),DATE(2025,MATCH(UPPER($Q$10), {"JAN","FEB","MAR","APR","MAY","JUN","JUL","AUG","SEP","OCT","NOV","DEC"}, 0),(DAY($D23))),INDIRECT(_xlfn.CONCAT("'Order Tracker'!Q12:R",Data!$AM$3)))=0,"- -",SUMIF(INDIRECT(_xlfn.CONCAT("'Order Tracker'!E12:F",Data!$AM$3)),DATE(2025,MATCH(UPPER($Q$10), {"JAN","FEB","MAR","APR","MAY","JUN","JUL","AUG","SEP","OCT","NOV","DEC"}, 0),(DAY($D23))),INDIRECT(_xlfn.CONCAT("'Order Tracker'!Q12:R",Data!$AM$3))))</f>
        <v>- -</v>
      </c>
      <c r="R23" s="160" t="str">
        <f ca="1">IF(SUMIF(INDIRECT(_xlfn.CONCAT("'Order Tracker'!E12:F",Data!$AM$3)),DATE(2025,MATCH(UPPER($Q$10), {"JAN","FEB","MAR","APR","MAY","JUN","JUL","AUG","SEP","OCT","NOV","DEC"}, 0),(DAY($D23))),INDIRECT(_xlfn.CONCAT("'Order Tracker'!S12:T",Data!$AM$3)))=0,"- -",SUMIF(INDIRECT(_xlfn.CONCAT("'Order Tracker'!E12:F",Data!$AM$3)),DATE(2025,MATCH(UPPER($Q$10), {"JAN","FEB","MAR","APR","MAY","JUN","JUL","AUG","SEP","OCT","NOV","DEC"}, 0),(DAY($D23))),INDIRECT(_xlfn.CONCAT("'Order Tracker'!S12:T",Data!$AM$3))))</f>
        <v>- -</v>
      </c>
      <c r="S23" s="156">
        <f t="shared" ca="1" si="3"/>
        <v>0</v>
      </c>
      <c r="T23" s="10"/>
      <c r="U23" s="160" t="str">
        <f ca="1">IF(SUMIF(INDIRECT(_xlfn.CONCAT("'Order Tracker'!E12:F",Data!$AM$3)),DATE(2025,MATCH(UPPER($U$10), {"JAN","FEB","MAR","APR","MAY","JUN","JUL","AUG","SEP","OCT","NOV","DEC"}, 0),(DAY($D23))),INDIRECT(_xlfn.CONCAT("'Order Tracker'!Q12:R",Data!$AM$3)))=0,"- -",SUMIF(INDIRECT(_xlfn.CONCAT("'Order Tracker'!E12:F",Data!$AM$3)),DATE(2025,MATCH(UPPER($U$10), {"JAN","FEB","MAR","APR","MAY","JUN","JUL","AUG","SEP","OCT","NOV","DEC"}, 0),(DAY($D23))),INDIRECT(_xlfn.CONCAT("'Order Tracker'!Q12:R",Data!$AM$3))))</f>
        <v>- -</v>
      </c>
      <c r="V23" s="160" t="str">
        <f ca="1">IF(SUMIF(INDIRECT(_xlfn.CONCAT("'Order Tracker'!E12:F",Data!$AM$3)),DATE(2025,MATCH(UPPER($U$10), {"JAN","FEB","MAR","APR","MAY","JUN","JUL","AUG","SEP","OCT","NOV","DEC"}, 0),(DAY($D23))),INDIRECT(_xlfn.CONCAT("'Order Tracker'!S12:T",Data!$AM$3)))=0,"- -",SUMIF(INDIRECT(_xlfn.CONCAT("'Order Tracker'!E12:F",Data!$AM$3)),DATE(2025,MATCH(UPPER($U$10), {"JAN","FEB","MAR","APR","MAY","JUN","JUL","AUG","SEP","OCT","NOV","DEC"}, 0),(DAY($D23))),INDIRECT(_xlfn.CONCAT("'Order Tracker'!S12:T",Data!$AM$3))))</f>
        <v>- -</v>
      </c>
      <c r="W23" s="156">
        <f t="shared" ca="1" si="4"/>
        <v>0</v>
      </c>
      <c r="X23" s="10"/>
      <c r="Y23" s="160" t="str">
        <f ca="1">IF(SUMIF(INDIRECT(_xlfn.CONCAT("'Order Tracker'!E12:F",Data!$AM$3)),DATE(2025,MATCH(UPPER($Y$10), {"JAN","FEB","MAR","APR","MAY","JUN","JUL","AUG","SEP","OCT","NOV","DEC"}, 0),(DAY($D23))),INDIRECT(_xlfn.CONCAT("'Order Tracker'!Q12:R",Data!$AM$3)))=0,"- -",SUMIF(INDIRECT(_xlfn.CONCAT("'Order Tracker'!E12:F",Data!$AM$3)),DATE(2025,MATCH(UPPER($Y$10), {"JAN","FEB","MAR","APR","MAY","JUN","JUL","AUG","SEP","OCT","NOV","DEC"}, 0),(DAY($D23))),INDIRECT(_xlfn.CONCAT("'Order Tracker'!Q12:R",Data!$AM$3))))</f>
        <v>- -</v>
      </c>
      <c r="Z23" s="160" t="str">
        <f ca="1">IF(SUMIF(INDIRECT(_xlfn.CONCAT("'Order Tracker'!E12:F",Data!$AM$3)),DATE(2025,MATCH(UPPER($Y$10), {"JAN","FEB","MAR","APR","MAY","JUN","JUL","AUG","SEP","OCT","NOV","DEC"}, 0),(DAY($D23))),INDIRECT(_xlfn.CONCAT("'Order Tracker'!S12:T",Data!$AM$3)))=0,"- -",SUMIF(INDIRECT(_xlfn.CONCAT("'Order Tracker'!E12:F",Data!$AM$3)),DATE(2025,MATCH(UPPER($Y$10), {"JAN","FEB","MAR","APR","MAY","JUN","JUL","AUG","SEP","OCT","NOV","DEC"}, 0),(DAY($D23))),INDIRECT(_xlfn.CONCAT("'Order Tracker'!S12:T",Data!$AM$3))))</f>
        <v>- -</v>
      </c>
      <c r="AA23" s="156">
        <f t="shared" ca="1" si="5"/>
        <v>0</v>
      </c>
      <c r="AB23" s="10"/>
      <c r="AC23" s="160" t="str">
        <f ca="1">IF(SUMIF(INDIRECT(_xlfn.CONCAT("'Order Tracker'!E12:F",Data!$AM$3)),DATE(2025,MATCH(UPPER($AC$10), {"JAN","FEB","MAR","APR","MAY","JUN","JUL","AUG","SEP","OCT","NOV","DEC"}, 0),(DAY($D23))),INDIRECT(_xlfn.CONCAT("'Order Tracker'!Q12:R",Data!$AM$3)))=0,"- -",SUMIF(INDIRECT(_xlfn.CONCAT("'Order Tracker'!E12:F",Data!$AM$3)),DATE(2025,MATCH(UPPER($AC$10), {"JAN","FEB","MAR","APR","MAY","JUN","JUL","AUG","SEP","OCT","NOV","DEC"}, 0),(DAY($D23))),INDIRECT(_xlfn.CONCAT("'Order Tracker'!Q12:R",Data!$AM$3))))</f>
        <v>- -</v>
      </c>
      <c r="AD23" s="160" t="str">
        <f ca="1">IF(SUMIF(INDIRECT(_xlfn.CONCAT("'Order Tracker'!E12:F",Data!$AM$3)),DATE(2025,MATCH(UPPER($AC$10), {"JAN","FEB","MAR","APR","MAY","JUN","JUL","AUG","SEP","OCT","NOV","DEC"}, 0),(DAY($D23))),INDIRECT(_xlfn.CONCAT("'Order Tracker'!S12:T",Data!$AM$3)))=0,"- -",SUMIF(INDIRECT(_xlfn.CONCAT("'Order Tracker'!E12:F",Data!$AM$3)),DATE(2025,MATCH(UPPER($AC$10), {"JAN","FEB","MAR","APR","MAY","JUN","JUL","AUG","SEP","OCT","NOV","DEC"}, 0),(DAY($D23))),INDIRECT(_xlfn.CONCAT("'Order Tracker'!S12:T",Data!$AM$3))))</f>
        <v>- -</v>
      </c>
      <c r="AE23" s="156">
        <f t="shared" ca="1" si="6"/>
        <v>0</v>
      </c>
      <c r="AF23" s="10"/>
      <c r="AG23" s="160" t="str">
        <f ca="1">IF(SUMIF(INDIRECT(_xlfn.CONCAT("'Order Tracker'!E12:F",Data!$AM$3)),DATE(2025,MATCH(UPPER($AG$10), {"JAN","FEB","MAR","APR","MAY","JUN","JUL","AUG","SEP","OCT","NOV","DEC"}, 0),(DAY($D23))),INDIRECT(_xlfn.CONCAT("'Order Tracker'!Q12:R",Data!$AM$3)))=0,"- -",SUMIF(INDIRECT(_xlfn.CONCAT("'Order Tracker'!E12:F",Data!$AM$3)),DATE(2025,MATCH(UPPER($AG$10), {"JAN","FEB","MAR","APR","MAY","JUN","JUL","AUG","SEP","OCT","NOV","DEC"}, 0),(DAY($D23))),INDIRECT(_xlfn.CONCAT("'Order Tracker'!Q12:R",Data!$AM$3))))</f>
        <v>- -</v>
      </c>
      <c r="AH23" s="160" t="str">
        <f ca="1">IF(SUMIF(INDIRECT(_xlfn.CONCAT("'Order Tracker'!E12:F",Data!$AM$3)),DATE(2025,MATCH(UPPER($AG$10), {"JAN","FEB","MAR","APR","MAY","JUN","JUL","AUG","SEP","OCT","NOV","DEC"}, 0),(DAY($D23))),INDIRECT(_xlfn.CONCAT("'Order Tracker'!S12:T",Data!$AM$3)))=0,"- -",SUMIF(INDIRECT(_xlfn.CONCAT("'Order Tracker'!E12:F",Data!$AM$3)),DATE(2025,MATCH(UPPER($AG$10), {"JAN","FEB","MAR","APR","MAY","JUN","JUL","AUG","SEP","OCT","NOV","DEC"}, 0),(DAY($D23))),INDIRECT(_xlfn.CONCAT("'Order Tracker'!S12:T",Data!$AM$3))))</f>
        <v>- -</v>
      </c>
      <c r="AI23" s="156">
        <f t="shared" ca="1" si="7"/>
        <v>0</v>
      </c>
      <c r="AJ23" s="10"/>
      <c r="AK23" s="160" t="str">
        <f ca="1">IF(SUMIF(INDIRECT(_xlfn.CONCAT("'Order Tracker'!E12:F",Data!$AM$3)),DATE(2025,MATCH(UPPER($AK$10), {"JAN","FEB","MAR","APR","MAY","JUN","JUL","AUG","SEP","OCT","NOV","DEC"}, 0),(DAY($D23))),INDIRECT(_xlfn.CONCAT("'Order Tracker'!Q12:R",Data!$AM$3)))=0,"- -",SUMIF(INDIRECT(_xlfn.CONCAT("'Order Tracker'!E12:F",Data!$AM$3)),DATE(2025,MATCH(UPPER($AK$10), {"JAN","FEB","MAR","APR","MAY","JUN","JUL","AUG","SEP","OCT","NOV","DEC"}, 0),(DAY($D23))),INDIRECT(_xlfn.CONCAT("'Order Tracker'!Q12:R",Data!$AM$3))))</f>
        <v>- -</v>
      </c>
      <c r="AL23" s="160" t="str">
        <f ca="1">IF(SUMIF(INDIRECT(_xlfn.CONCAT("'Order Tracker'!E12:F",Data!$AM$3)),DATE(2025,MATCH(UPPER($AK$10), {"JAN","FEB","MAR","APR","MAY","JUN","JUL","AUG","SEP","OCT","NOV","DEC"}, 0),(DAY($D23))),INDIRECT(_xlfn.CONCAT("'Order Tracker'!S12:T",Data!$AM$3)))=0,"- -",SUMIF(INDIRECT(_xlfn.CONCAT("'Order Tracker'!E12:F",Data!$AM$3)),DATE(2025,MATCH(UPPER($AK$10), {"JAN","FEB","MAR","APR","MAY","JUN","JUL","AUG","SEP","OCT","NOV","DEC"}, 0),(DAY($D23))),INDIRECT(_xlfn.CONCAT("'Order Tracker'!S12:T",Data!$AM$3))))</f>
        <v>- -</v>
      </c>
      <c r="AM23" s="156">
        <f t="shared" ca="1" si="8"/>
        <v>0</v>
      </c>
      <c r="AN23" s="10"/>
      <c r="AO23" s="160" t="str">
        <f ca="1">IF(SUMIF(INDIRECT(_xlfn.CONCAT("'Order Tracker'!E12:F",Data!$AM$3)),DATE(2025,MATCH(UPPER($AO$10), {"JAN","FEB","MAR","APR","MAY","JUN","JUL","AUG","SEP","OCT","NOV","DEC"}, 0),(DAY($D23))),INDIRECT(_xlfn.CONCAT("'Order Tracker'!Q12:R",Data!$AM$3)))=0,"- -",SUMIF(INDIRECT(_xlfn.CONCAT("'Order Tracker'!E12:F",Data!$AM$3)),DATE(2025,MATCH(UPPER($AO$10), {"JAN","FEB","MAR","APR","MAY","JUN","JUL","AUG","SEP","OCT","NOV","DEC"}, 0),(DAY($D23))),INDIRECT(_xlfn.CONCAT("'Order Tracker'!Q12:R",Data!$AM$3))))</f>
        <v>- -</v>
      </c>
      <c r="AP23" s="160" t="str">
        <f ca="1">IF(SUMIF(INDIRECT(_xlfn.CONCAT("'Order Tracker'!E12:F",Data!$AM$3)),DATE(2025,MATCH(UPPER($AO$10), {"JAN","FEB","MAR","APR","MAY","JUN","JUL","AUG","SEP","OCT","NOV","DEC"}, 0),(DAY($D23))),INDIRECT(_xlfn.CONCAT("'Order Tracker'!S12:T",Data!$AM$3)))=0,"- -",SUMIF(INDIRECT(_xlfn.CONCAT("'Order Tracker'!E12:F",Data!$AM$3)),DATE(2025,MATCH(UPPER($AO$10), {"JAN","FEB","MAR","APR","MAY","JUN","JUL","AUG","SEP","OCT","NOV","DEC"}, 0),(DAY($D23))),INDIRECT(_xlfn.CONCAT("'Order Tracker'!S12:T",Data!$AM$3))))</f>
        <v>- -</v>
      </c>
      <c r="AQ23" s="156">
        <f t="shared" ca="1" si="9"/>
        <v>0</v>
      </c>
      <c r="AR23" s="10"/>
      <c r="AS23" s="160" t="str">
        <f ca="1">IF(SUMIF(INDIRECT(_xlfn.CONCAT("'Order Tracker'!E12:F",Data!$AM$3)),DATE(2025,MATCH(UPPER($AS$10), {"JAN","FEB","MAR","APR","MAY","JUN","JUL","AUG","SEP","OCT","NOV","DEC"}, 0),(DAY($D23))),INDIRECT(_xlfn.CONCAT("'Order Tracker'!Q12:R",Data!$AM$3)))=0,"- -",SUMIF(INDIRECT(_xlfn.CONCAT("'Order Tracker'!E12:F",Data!$AM$3)),DATE(2025,MATCH(UPPER($AS$10), {"JAN","FEB","MAR","APR","MAY","JUN","JUL","AUG","SEP","OCT","NOV","DEC"}, 0),(DAY($D23))),INDIRECT(_xlfn.CONCAT("'Order Tracker'!Q12:R",Data!$AM$3))))</f>
        <v>- -</v>
      </c>
      <c r="AT23" s="160" t="str">
        <f ca="1">IF(SUMIF(INDIRECT(_xlfn.CONCAT("'Order Tracker'!E12:F",Data!$AM$3)),DATE(2025,MATCH(UPPER($AS$10), {"JAN","FEB","MAR","APR","MAY","JUN","JUL","AUG","SEP","OCT","NOV","DEC"}, 0),(DAY($D23))),INDIRECT(_xlfn.CONCAT("'Order Tracker'!S12:T",Data!$AM$3)))=0,"- -",SUMIF(INDIRECT(_xlfn.CONCAT("'Order Tracker'!E12:F",Data!$AM$3)),DATE(2025,MATCH(UPPER($AS$10), {"JAN","FEB","MAR","APR","MAY","JUN","JUL","AUG","SEP","OCT","NOV","DEC"}, 0),(DAY($D23))),INDIRECT(_xlfn.CONCAT("'Order Tracker'!S12:T",Data!$AM$3))))</f>
        <v>- -</v>
      </c>
      <c r="AU23" s="156">
        <f t="shared" ca="1" si="10"/>
        <v>0</v>
      </c>
      <c r="AV23" s="7"/>
      <c r="AW23" s="160" t="str">
        <f ca="1">IF(SUMIF(INDIRECT(_xlfn.CONCAT("'Order Tracker'!E12:F",Data!$AM$3)),DATE(2025,MATCH(UPPER($AW$10), {"JAN","FEB","MAR","APR","MAY","JUN","JUL","AUG","SEP","OCT","NOV","DEC"}, 0),(DAY($D23))),INDIRECT(_xlfn.CONCAT("'Order Tracker'!Q12:R",Data!$AM$3)))=0,"- -",SUMIF(INDIRECT(_xlfn.CONCAT("'Order Tracker'!E12:F",Data!$AM$3)),DATE(2025,MATCH(UPPER($AW$10), {"JAN","FEB","MAR","APR","MAY","JUN","JUL","AUG","SEP","OCT","NOV","DEC"}, 0),(DAY($D23))),INDIRECT(_xlfn.CONCAT("'Order Tracker'!Q12:R",Data!$AM$3))))</f>
        <v>- -</v>
      </c>
      <c r="AX23" s="160" t="str">
        <f ca="1">IF(SUMIF(INDIRECT(_xlfn.CONCAT("'Order Tracker'!E12:F",Data!$AM$3)),DATE(2025,MATCH(UPPER($AW$10), {"JAN","FEB","MAR","APR","MAY","JUN","JUL","AUG","SEP","OCT","NOV","DEC"}, 0),(DAY($D23))),INDIRECT(_xlfn.CONCAT("'Order Tracker'!S12:T",Data!$AM$3)))=0,"- -",SUMIF(INDIRECT(_xlfn.CONCAT("'Order Tracker'!E12:F",Data!$AM$3)),DATE(2025,MATCH(UPPER($AW$10), {"JAN","FEB","MAR","APR","MAY","JUN","JUL","AUG","SEP","OCT","NOV","DEC"}, 0),(DAY($D23))),INDIRECT(_xlfn.CONCAT("'Order Tracker'!S12:T",Data!$AM$3))))</f>
        <v>- -</v>
      </c>
      <c r="AY23" s="156">
        <f t="shared" ca="1" si="11"/>
        <v>0</v>
      </c>
      <c r="AZ23" s="109"/>
    </row>
    <row r="24" spans="4:52" ht="18" hidden="1" x14ac:dyDescent="0.2">
      <c r="D24" s="151">
        <v>11</v>
      </c>
      <c r="E24" s="160" t="str">
        <f ca="1">IF(SUMIF(INDIRECT(_xlfn.CONCAT("'Order Tracker'!E12:F",Data!$AM$3)),DATE(2025,MATCH(UPPER($E$10), {"JAN","FEB","MAR","APR","MAY","JUN","JUL","AUG","SEP","OCT","NOV","DEC"}, 0),(DAY($D24))),INDIRECT(_xlfn.CONCAT("'Order Tracker'!Q12:R",Data!$AM$3)))=0,"- -",SUMIF(INDIRECT(_xlfn.CONCAT("'Order Tracker'!E12:F",Data!$AM$3)),DATE(2025,MATCH(UPPER($E$10), {"JAN","FEB","MAR","APR","MAY","JUN","JUL","AUG","SEP","OCT","NOV","DEC"}, 0),(DAY($D24))),INDIRECT(_xlfn.CONCAT("'Order Tracker'!Q12:R",Data!$AM$3))))</f>
        <v>- -</v>
      </c>
      <c r="F24" s="160" t="str">
        <f ca="1">IF(SUMIF(INDIRECT(_xlfn.CONCAT("'Order Tracker'!E12:F",Data!$AM$3)),DATE(2025,MATCH(UPPER($E$10), {"JAN","FEB","MAR","APR","MAY","JUN","JUL","AUG","SEP","OCT","NOV","DEC"}, 0),(DAY($D24))),INDIRECT(_xlfn.CONCAT("'Order Tracker'!S12:T",Data!$AM$3)))=0,"- -",SUMIF(INDIRECT(_xlfn.CONCAT("'Order Tracker'!E12:F",Data!$AM$3)),DATE(2025,MATCH(UPPER($E$10), {"JAN","FEB","MAR","APR","MAY","JUN","JUL","AUG","SEP","OCT","NOV","DEC"}, 0),(DAY($D24))),INDIRECT(_xlfn.CONCAT("'Order Tracker'!S12:T",Data!$AM$3))))</f>
        <v>- -</v>
      </c>
      <c r="G24" s="156">
        <f t="shared" ca="1" si="0"/>
        <v>0</v>
      </c>
      <c r="H24" s="10"/>
      <c r="I24" s="160" t="str">
        <f ca="1">IF(SUMIF(INDIRECT(_xlfn.CONCAT("'Order Tracker'!E12:F",Data!$AM$3)),DATE(2025,MATCH(UPPER($I$10), {"JAN","FEB","MAR","APR","MAY","JUN","JUL","AUG","SEP","OCT","NOV","DEC"}, 0),(DAY($D24))),INDIRECT(_xlfn.CONCAT("'Order Tracker'!Q12:R",Data!$AM$3)))=0,"- -",SUMIF(INDIRECT(_xlfn.CONCAT("'Order Tracker'!E12:F",Data!$AM$3)),DATE(2025,MATCH(UPPER($I$10), {"JAN","FEB","MAR","APR","MAY","JUN","JUL","AUG","SEP","OCT","NOV","DEC"}, 0),(DAY($D24))),INDIRECT(_xlfn.CONCAT("'Order Tracker'!Q12:R",Data!$AM$3))))</f>
        <v>- -</v>
      </c>
      <c r="J24" s="160" t="str">
        <f ca="1">IF(SUMIF(INDIRECT(_xlfn.CONCAT("'Order Tracker'!E12:F",Data!$AM$3)),DATE(2025,MATCH(UPPER($I$10), {"JAN","FEB","MAR","APR","MAY","JUN","JUL","AUG","SEP","OCT","NOV","DEC"}, 0),(DAY($D24))),INDIRECT(_xlfn.CONCAT("'Order Tracker'!S12:T",Data!$AM$3)))=0,"- -",SUMIF(INDIRECT(_xlfn.CONCAT("'Order Tracker'!E12:F",Data!$AM$3)),DATE(2025,MATCH(UPPER($I$10), {"JAN","FEB","MAR","APR","MAY","JUN","JUL","AUG","SEP","OCT","NOV","DEC"}, 0),(DAY($D24))),INDIRECT(_xlfn.CONCAT("'Order Tracker'!S12:T",Data!$AM$3))))</f>
        <v>- -</v>
      </c>
      <c r="K24" s="156">
        <f t="shared" ca="1" si="1"/>
        <v>0</v>
      </c>
      <c r="L24" s="10"/>
      <c r="M24" s="160" t="str">
        <f ca="1">IF(SUMIF(INDIRECT(_xlfn.CONCAT("'Order Tracker'!E12:F",Data!$AM$3)),DATE(2025,MATCH(UPPER($M$10), {"JAN","FEB","MAR","APR","MAY","JUN","JUL","AUG","SEP","OCT","NOV","DEC"}, 0),(DAY($D24))),INDIRECT(_xlfn.CONCAT("'Order Tracker'!Q12:R",Data!$AM$3)))=0,"- -",SUMIF(INDIRECT(_xlfn.CONCAT("'Order Tracker'!E12:F",Data!$AM$3)),DATE(2025,MATCH(UPPER($M$10), {"JAN","FEB","MAR","APR","MAY","JUN","JUL","AUG","SEP","OCT","NOV","DEC"}, 0),(DAY($D24))),INDIRECT(_xlfn.CONCAT("'Order Tracker'!Q12:R",Data!$AM$3))))</f>
        <v>- -</v>
      </c>
      <c r="N24" s="160" t="str">
        <f ca="1">IF(SUMIF(INDIRECT(_xlfn.CONCAT("'Order Tracker'!E12:F",Data!$AM$3)),DATE(2025,MATCH(UPPER($M$10), {"JAN","FEB","MAR","APR","MAY","JUN","JUL","AUG","SEP","OCT","NOV","DEC"}, 0),(DAY($D24))),INDIRECT(_xlfn.CONCAT("'Order Tracker'!S12:T",Data!$AM$3)))=0,"- -",SUMIF(INDIRECT(_xlfn.CONCAT("'Order Tracker'!E12:F",Data!$AM$3)),DATE(2025,MATCH(UPPER($M$10), {"JAN","FEB","MAR","APR","MAY","JUN","JUL","AUG","SEP","OCT","NOV","DEC"}, 0),(DAY($D24))),INDIRECT(_xlfn.CONCAT("'Order Tracker'!S12:T",Data!$AM$3))))</f>
        <v>- -</v>
      </c>
      <c r="O24" s="156">
        <f t="shared" ca="1" si="2"/>
        <v>0</v>
      </c>
      <c r="P24" s="10"/>
      <c r="Q24" s="160" t="str">
        <f ca="1">IF(SUMIF(INDIRECT(_xlfn.CONCAT("'Order Tracker'!E12:F",Data!$AM$3)),DATE(2025,MATCH(UPPER($Q$10), {"JAN","FEB","MAR","APR","MAY","JUN","JUL","AUG","SEP","OCT","NOV","DEC"}, 0),(DAY($D24))),INDIRECT(_xlfn.CONCAT("'Order Tracker'!Q12:R",Data!$AM$3)))=0,"- -",SUMIF(INDIRECT(_xlfn.CONCAT("'Order Tracker'!E12:F",Data!$AM$3)),DATE(2025,MATCH(UPPER($Q$10), {"JAN","FEB","MAR","APR","MAY","JUN","JUL","AUG","SEP","OCT","NOV","DEC"}, 0),(DAY($D24))),INDIRECT(_xlfn.CONCAT("'Order Tracker'!Q12:R",Data!$AM$3))))</f>
        <v>- -</v>
      </c>
      <c r="R24" s="160" t="str">
        <f ca="1">IF(SUMIF(INDIRECT(_xlfn.CONCAT("'Order Tracker'!E12:F",Data!$AM$3)),DATE(2025,MATCH(UPPER($Q$10), {"JAN","FEB","MAR","APR","MAY","JUN","JUL","AUG","SEP","OCT","NOV","DEC"}, 0),(DAY($D24))),INDIRECT(_xlfn.CONCAT("'Order Tracker'!S12:T",Data!$AM$3)))=0,"- -",SUMIF(INDIRECT(_xlfn.CONCAT("'Order Tracker'!E12:F",Data!$AM$3)),DATE(2025,MATCH(UPPER($Q$10), {"JAN","FEB","MAR","APR","MAY","JUN","JUL","AUG","SEP","OCT","NOV","DEC"}, 0),(DAY($D24))),INDIRECT(_xlfn.CONCAT("'Order Tracker'!S12:T",Data!$AM$3))))</f>
        <v>- -</v>
      </c>
      <c r="S24" s="156">
        <f t="shared" ca="1" si="3"/>
        <v>0</v>
      </c>
      <c r="T24" s="10"/>
      <c r="U24" s="160" t="str">
        <f ca="1">IF(SUMIF(INDIRECT(_xlfn.CONCAT("'Order Tracker'!E12:F",Data!$AM$3)),DATE(2025,MATCH(UPPER($U$10), {"JAN","FEB","MAR","APR","MAY","JUN","JUL","AUG","SEP","OCT","NOV","DEC"}, 0),(DAY($D24))),INDIRECT(_xlfn.CONCAT("'Order Tracker'!Q12:R",Data!$AM$3)))=0,"- -",SUMIF(INDIRECT(_xlfn.CONCAT("'Order Tracker'!E12:F",Data!$AM$3)),DATE(2025,MATCH(UPPER($U$10), {"JAN","FEB","MAR","APR","MAY","JUN","JUL","AUG","SEP","OCT","NOV","DEC"}, 0),(DAY($D24))),INDIRECT(_xlfn.CONCAT("'Order Tracker'!Q12:R",Data!$AM$3))))</f>
        <v>- -</v>
      </c>
      <c r="V24" s="160" t="str">
        <f ca="1">IF(SUMIF(INDIRECT(_xlfn.CONCAT("'Order Tracker'!E12:F",Data!$AM$3)),DATE(2025,MATCH(UPPER($U$10), {"JAN","FEB","MAR","APR","MAY","JUN","JUL","AUG","SEP","OCT","NOV","DEC"}, 0),(DAY($D24))),INDIRECT(_xlfn.CONCAT("'Order Tracker'!S12:T",Data!$AM$3)))=0,"- -",SUMIF(INDIRECT(_xlfn.CONCAT("'Order Tracker'!E12:F",Data!$AM$3)),DATE(2025,MATCH(UPPER($U$10), {"JAN","FEB","MAR","APR","MAY","JUN","JUL","AUG","SEP","OCT","NOV","DEC"}, 0),(DAY($D24))),INDIRECT(_xlfn.CONCAT("'Order Tracker'!S12:T",Data!$AM$3))))</f>
        <v>- -</v>
      </c>
      <c r="W24" s="156">
        <f t="shared" ca="1" si="4"/>
        <v>0</v>
      </c>
      <c r="X24" s="10"/>
      <c r="Y24" s="160" t="str">
        <f ca="1">IF(SUMIF(INDIRECT(_xlfn.CONCAT("'Order Tracker'!E12:F",Data!$AM$3)),DATE(2025,MATCH(UPPER($Y$10), {"JAN","FEB","MAR","APR","MAY","JUN","JUL","AUG","SEP","OCT","NOV","DEC"}, 0),(DAY($D24))),INDIRECT(_xlfn.CONCAT("'Order Tracker'!Q12:R",Data!$AM$3)))=0,"- -",SUMIF(INDIRECT(_xlfn.CONCAT("'Order Tracker'!E12:F",Data!$AM$3)),DATE(2025,MATCH(UPPER($Y$10), {"JAN","FEB","MAR","APR","MAY","JUN","JUL","AUG","SEP","OCT","NOV","DEC"}, 0),(DAY($D24))),INDIRECT(_xlfn.CONCAT("'Order Tracker'!Q12:R",Data!$AM$3))))</f>
        <v>- -</v>
      </c>
      <c r="Z24" s="160" t="str">
        <f ca="1">IF(SUMIF(INDIRECT(_xlfn.CONCAT("'Order Tracker'!E12:F",Data!$AM$3)),DATE(2025,MATCH(UPPER($Y$10), {"JAN","FEB","MAR","APR","MAY","JUN","JUL","AUG","SEP","OCT","NOV","DEC"}, 0),(DAY($D24))),INDIRECT(_xlfn.CONCAT("'Order Tracker'!S12:T",Data!$AM$3)))=0,"- -",SUMIF(INDIRECT(_xlfn.CONCAT("'Order Tracker'!E12:F",Data!$AM$3)),DATE(2025,MATCH(UPPER($Y$10), {"JAN","FEB","MAR","APR","MAY","JUN","JUL","AUG","SEP","OCT","NOV","DEC"}, 0),(DAY($D24))),INDIRECT(_xlfn.CONCAT("'Order Tracker'!S12:T",Data!$AM$3))))</f>
        <v>- -</v>
      </c>
      <c r="AA24" s="156">
        <f t="shared" ca="1" si="5"/>
        <v>0</v>
      </c>
      <c r="AB24" s="10"/>
      <c r="AC24" s="160" t="str">
        <f ca="1">IF(SUMIF(INDIRECT(_xlfn.CONCAT("'Order Tracker'!E12:F",Data!$AM$3)),DATE(2025,MATCH(UPPER($AC$10), {"JAN","FEB","MAR","APR","MAY","JUN","JUL","AUG","SEP","OCT","NOV","DEC"}, 0),(DAY($D24))),INDIRECT(_xlfn.CONCAT("'Order Tracker'!Q12:R",Data!$AM$3)))=0,"- -",SUMIF(INDIRECT(_xlfn.CONCAT("'Order Tracker'!E12:F",Data!$AM$3)),DATE(2025,MATCH(UPPER($AC$10), {"JAN","FEB","MAR","APR","MAY","JUN","JUL","AUG","SEP","OCT","NOV","DEC"}, 0),(DAY($D24))),INDIRECT(_xlfn.CONCAT("'Order Tracker'!Q12:R",Data!$AM$3))))</f>
        <v>- -</v>
      </c>
      <c r="AD24" s="160" t="str">
        <f ca="1">IF(SUMIF(INDIRECT(_xlfn.CONCAT("'Order Tracker'!E12:F",Data!$AM$3)),DATE(2025,MATCH(UPPER($AC$10), {"JAN","FEB","MAR","APR","MAY","JUN","JUL","AUG","SEP","OCT","NOV","DEC"}, 0),(DAY($D24))),INDIRECT(_xlfn.CONCAT("'Order Tracker'!S12:T",Data!$AM$3)))=0,"- -",SUMIF(INDIRECT(_xlfn.CONCAT("'Order Tracker'!E12:F",Data!$AM$3)),DATE(2025,MATCH(UPPER($AC$10), {"JAN","FEB","MAR","APR","MAY","JUN","JUL","AUG","SEP","OCT","NOV","DEC"}, 0),(DAY($D24))),INDIRECT(_xlfn.CONCAT("'Order Tracker'!S12:T",Data!$AM$3))))</f>
        <v>- -</v>
      </c>
      <c r="AE24" s="156">
        <f t="shared" ca="1" si="6"/>
        <v>0</v>
      </c>
      <c r="AF24" s="10"/>
      <c r="AG24" s="160" t="str">
        <f ca="1">IF(SUMIF(INDIRECT(_xlfn.CONCAT("'Order Tracker'!E12:F",Data!$AM$3)),DATE(2025,MATCH(UPPER($AG$10), {"JAN","FEB","MAR","APR","MAY","JUN","JUL","AUG","SEP","OCT","NOV","DEC"}, 0),(DAY($D24))),INDIRECT(_xlfn.CONCAT("'Order Tracker'!Q12:R",Data!$AM$3)))=0,"- -",SUMIF(INDIRECT(_xlfn.CONCAT("'Order Tracker'!E12:F",Data!$AM$3)),DATE(2025,MATCH(UPPER($AG$10), {"JAN","FEB","MAR","APR","MAY","JUN","JUL","AUG","SEP","OCT","NOV","DEC"}, 0),(DAY($D24))),INDIRECT(_xlfn.CONCAT("'Order Tracker'!Q12:R",Data!$AM$3))))</f>
        <v>- -</v>
      </c>
      <c r="AH24" s="160" t="str">
        <f ca="1">IF(SUMIF(INDIRECT(_xlfn.CONCAT("'Order Tracker'!E12:F",Data!$AM$3)),DATE(2025,MATCH(UPPER($AG$10), {"JAN","FEB","MAR","APR","MAY","JUN","JUL","AUG","SEP","OCT","NOV","DEC"}, 0),(DAY($D24))),INDIRECT(_xlfn.CONCAT("'Order Tracker'!S12:T",Data!$AM$3)))=0,"- -",SUMIF(INDIRECT(_xlfn.CONCAT("'Order Tracker'!E12:F",Data!$AM$3)),DATE(2025,MATCH(UPPER($AG$10), {"JAN","FEB","MAR","APR","MAY","JUN","JUL","AUG","SEP","OCT","NOV","DEC"}, 0),(DAY($D24))),INDIRECT(_xlfn.CONCAT("'Order Tracker'!S12:T",Data!$AM$3))))</f>
        <v>- -</v>
      </c>
      <c r="AI24" s="156">
        <f t="shared" ca="1" si="7"/>
        <v>0</v>
      </c>
      <c r="AJ24" s="10"/>
      <c r="AK24" s="160" t="str">
        <f ca="1">IF(SUMIF(INDIRECT(_xlfn.CONCAT("'Order Tracker'!E12:F",Data!$AM$3)),DATE(2025,MATCH(UPPER($AK$10), {"JAN","FEB","MAR","APR","MAY","JUN","JUL","AUG","SEP","OCT","NOV","DEC"}, 0),(DAY($D24))),INDIRECT(_xlfn.CONCAT("'Order Tracker'!Q12:R",Data!$AM$3)))=0,"- -",SUMIF(INDIRECT(_xlfn.CONCAT("'Order Tracker'!E12:F",Data!$AM$3)),DATE(2025,MATCH(UPPER($AK$10), {"JAN","FEB","MAR","APR","MAY","JUN","JUL","AUG","SEP","OCT","NOV","DEC"}, 0),(DAY($D24))),INDIRECT(_xlfn.CONCAT("'Order Tracker'!Q12:R",Data!$AM$3))))</f>
        <v>- -</v>
      </c>
      <c r="AL24" s="160" t="str">
        <f ca="1">IF(SUMIF(INDIRECT(_xlfn.CONCAT("'Order Tracker'!E12:F",Data!$AM$3)),DATE(2025,MATCH(UPPER($AK$10), {"JAN","FEB","MAR","APR","MAY","JUN","JUL","AUG","SEP","OCT","NOV","DEC"}, 0),(DAY($D24))),INDIRECT(_xlfn.CONCAT("'Order Tracker'!S12:T",Data!$AM$3)))=0,"- -",SUMIF(INDIRECT(_xlfn.CONCAT("'Order Tracker'!E12:F",Data!$AM$3)),DATE(2025,MATCH(UPPER($AK$10), {"JAN","FEB","MAR","APR","MAY","JUN","JUL","AUG","SEP","OCT","NOV","DEC"}, 0),(DAY($D24))),INDIRECT(_xlfn.CONCAT("'Order Tracker'!S12:T",Data!$AM$3))))</f>
        <v>- -</v>
      </c>
      <c r="AM24" s="156">
        <f t="shared" ca="1" si="8"/>
        <v>0</v>
      </c>
      <c r="AN24" s="10"/>
      <c r="AO24" s="160" t="str">
        <f ca="1">IF(SUMIF(INDIRECT(_xlfn.CONCAT("'Order Tracker'!E12:F",Data!$AM$3)),DATE(2025,MATCH(UPPER($AO$10), {"JAN","FEB","MAR","APR","MAY","JUN","JUL","AUG","SEP","OCT","NOV","DEC"}, 0),(DAY($D24))),INDIRECT(_xlfn.CONCAT("'Order Tracker'!Q12:R",Data!$AM$3)))=0,"- -",SUMIF(INDIRECT(_xlfn.CONCAT("'Order Tracker'!E12:F",Data!$AM$3)),DATE(2025,MATCH(UPPER($AO$10), {"JAN","FEB","MAR","APR","MAY","JUN","JUL","AUG","SEP","OCT","NOV","DEC"}, 0),(DAY($D24))),INDIRECT(_xlfn.CONCAT("'Order Tracker'!Q12:R",Data!$AM$3))))</f>
        <v>- -</v>
      </c>
      <c r="AP24" s="160" t="str">
        <f ca="1">IF(SUMIF(INDIRECT(_xlfn.CONCAT("'Order Tracker'!E12:F",Data!$AM$3)),DATE(2025,MATCH(UPPER($AO$10), {"JAN","FEB","MAR","APR","MAY","JUN","JUL","AUG","SEP","OCT","NOV","DEC"}, 0),(DAY($D24))),INDIRECT(_xlfn.CONCAT("'Order Tracker'!S12:T",Data!$AM$3)))=0,"- -",SUMIF(INDIRECT(_xlfn.CONCAT("'Order Tracker'!E12:F",Data!$AM$3)),DATE(2025,MATCH(UPPER($AO$10), {"JAN","FEB","MAR","APR","MAY","JUN","JUL","AUG","SEP","OCT","NOV","DEC"}, 0),(DAY($D24))),INDIRECT(_xlfn.CONCAT("'Order Tracker'!S12:T",Data!$AM$3))))</f>
        <v>- -</v>
      </c>
      <c r="AQ24" s="156">
        <f t="shared" ca="1" si="9"/>
        <v>0</v>
      </c>
      <c r="AR24" s="10"/>
      <c r="AS24" s="160" t="str">
        <f ca="1">IF(SUMIF(INDIRECT(_xlfn.CONCAT("'Order Tracker'!E12:F",Data!$AM$3)),DATE(2025,MATCH(UPPER($AS$10), {"JAN","FEB","MAR","APR","MAY","JUN","JUL","AUG","SEP","OCT","NOV","DEC"}, 0),(DAY($D24))),INDIRECT(_xlfn.CONCAT("'Order Tracker'!Q12:R",Data!$AM$3)))=0,"- -",SUMIF(INDIRECT(_xlfn.CONCAT("'Order Tracker'!E12:F",Data!$AM$3)),DATE(2025,MATCH(UPPER($AS$10), {"JAN","FEB","MAR","APR","MAY","JUN","JUL","AUG","SEP","OCT","NOV","DEC"}, 0),(DAY($D24))),INDIRECT(_xlfn.CONCAT("'Order Tracker'!Q12:R",Data!$AM$3))))</f>
        <v>- -</v>
      </c>
      <c r="AT24" s="160" t="str">
        <f ca="1">IF(SUMIF(INDIRECT(_xlfn.CONCAT("'Order Tracker'!E12:F",Data!$AM$3)),DATE(2025,MATCH(UPPER($AS$10), {"JAN","FEB","MAR","APR","MAY","JUN","JUL","AUG","SEP","OCT","NOV","DEC"}, 0),(DAY($D24))),INDIRECT(_xlfn.CONCAT("'Order Tracker'!S12:T",Data!$AM$3)))=0,"- -",SUMIF(INDIRECT(_xlfn.CONCAT("'Order Tracker'!E12:F",Data!$AM$3)),DATE(2025,MATCH(UPPER($AS$10), {"JAN","FEB","MAR","APR","MAY","JUN","JUL","AUG","SEP","OCT","NOV","DEC"}, 0),(DAY($D24))),INDIRECT(_xlfn.CONCAT("'Order Tracker'!S12:T",Data!$AM$3))))</f>
        <v>- -</v>
      </c>
      <c r="AU24" s="156">
        <f t="shared" ca="1" si="10"/>
        <v>0</v>
      </c>
      <c r="AV24" s="7"/>
      <c r="AW24" s="160" t="str">
        <f ca="1">IF(SUMIF(INDIRECT(_xlfn.CONCAT("'Order Tracker'!E12:F",Data!$AM$3)),DATE(2025,MATCH(UPPER($AW$10), {"JAN","FEB","MAR","APR","MAY","JUN","JUL","AUG","SEP","OCT","NOV","DEC"}, 0),(DAY($D24))),INDIRECT(_xlfn.CONCAT("'Order Tracker'!Q12:R",Data!$AM$3)))=0,"- -",SUMIF(INDIRECT(_xlfn.CONCAT("'Order Tracker'!E12:F",Data!$AM$3)),DATE(2025,MATCH(UPPER($AW$10), {"JAN","FEB","MAR","APR","MAY","JUN","JUL","AUG","SEP","OCT","NOV","DEC"}, 0),(DAY($D24))),INDIRECT(_xlfn.CONCAT("'Order Tracker'!Q12:R",Data!$AM$3))))</f>
        <v>- -</v>
      </c>
      <c r="AX24" s="160" t="str">
        <f ca="1">IF(SUMIF(INDIRECT(_xlfn.CONCAT("'Order Tracker'!E12:F",Data!$AM$3)),DATE(2025,MATCH(UPPER($AW$10), {"JAN","FEB","MAR","APR","MAY","JUN","JUL","AUG","SEP","OCT","NOV","DEC"}, 0),(DAY($D24))),INDIRECT(_xlfn.CONCAT("'Order Tracker'!S12:T",Data!$AM$3)))=0,"- -",SUMIF(INDIRECT(_xlfn.CONCAT("'Order Tracker'!E12:F",Data!$AM$3)),DATE(2025,MATCH(UPPER($AW$10), {"JAN","FEB","MAR","APR","MAY","JUN","JUL","AUG","SEP","OCT","NOV","DEC"}, 0),(DAY($D24))),INDIRECT(_xlfn.CONCAT("'Order Tracker'!S12:T",Data!$AM$3))))</f>
        <v>- -</v>
      </c>
      <c r="AY24" s="156">
        <f t="shared" ca="1" si="11"/>
        <v>0</v>
      </c>
      <c r="AZ24" s="109"/>
    </row>
    <row r="25" spans="4:52" ht="18" hidden="1" x14ac:dyDescent="0.2">
      <c r="D25" s="151">
        <v>12</v>
      </c>
      <c r="E25" s="160" t="str">
        <f ca="1">IF(SUMIF(INDIRECT(_xlfn.CONCAT("'Order Tracker'!E12:F",Data!$AM$3)),DATE(2025,MATCH(UPPER($E$10), {"JAN","FEB","MAR","APR","MAY","JUN","JUL","AUG","SEP","OCT","NOV","DEC"}, 0),(DAY($D25))),INDIRECT(_xlfn.CONCAT("'Order Tracker'!Q12:R",Data!$AM$3)))=0,"- -",SUMIF(INDIRECT(_xlfn.CONCAT("'Order Tracker'!E12:F",Data!$AM$3)),DATE(2025,MATCH(UPPER($E$10), {"JAN","FEB","MAR","APR","MAY","JUN","JUL","AUG","SEP","OCT","NOV","DEC"}, 0),(DAY($D25))),INDIRECT(_xlfn.CONCAT("'Order Tracker'!Q12:R",Data!$AM$3))))</f>
        <v>- -</v>
      </c>
      <c r="F25" s="160" t="str">
        <f ca="1">IF(SUMIF(INDIRECT(_xlfn.CONCAT("'Order Tracker'!E12:F",Data!$AM$3)),DATE(2025,MATCH(UPPER($E$10), {"JAN","FEB","MAR","APR","MAY","JUN","JUL","AUG","SEP","OCT","NOV","DEC"}, 0),(DAY($D25))),INDIRECT(_xlfn.CONCAT("'Order Tracker'!S12:T",Data!$AM$3)))=0,"- -",SUMIF(INDIRECT(_xlfn.CONCAT("'Order Tracker'!E12:F",Data!$AM$3)),DATE(2025,MATCH(UPPER($E$10), {"JAN","FEB","MAR","APR","MAY","JUN","JUL","AUG","SEP","OCT","NOV","DEC"}, 0),(DAY($D25))),INDIRECT(_xlfn.CONCAT("'Order Tracker'!S12:T",Data!$AM$3))))</f>
        <v>- -</v>
      </c>
      <c r="G25" s="156">
        <f t="shared" ca="1" si="0"/>
        <v>0</v>
      </c>
      <c r="H25" s="10"/>
      <c r="I25" s="160" t="str">
        <f ca="1">IF(SUMIF(INDIRECT(_xlfn.CONCAT("'Order Tracker'!E12:F",Data!$AM$3)),DATE(2025,MATCH(UPPER($I$10), {"JAN","FEB","MAR","APR","MAY","JUN","JUL","AUG","SEP","OCT","NOV","DEC"}, 0),(DAY($D25))),INDIRECT(_xlfn.CONCAT("'Order Tracker'!Q12:R",Data!$AM$3)))=0,"- -",SUMIF(INDIRECT(_xlfn.CONCAT("'Order Tracker'!E12:F",Data!$AM$3)),DATE(2025,MATCH(UPPER($I$10), {"JAN","FEB","MAR","APR","MAY","JUN","JUL","AUG","SEP","OCT","NOV","DEC"}, 0),(DAY($D25))),INDIRECT(_xlfn.CONCAT("'Order Tracker'!Q12:R",Data!$AM$3))))</f>
        <v>- -</v>
      </c>
      <c r="J25" s="160" t="str">
        <f ca="1">IF(SUMIF(INDIRECT(_xlfn.CONCAT("'Order Tracker'!E12:F",Data!$AM$3)),DATE(2025,MATCH(UPPER($I$10), {"JAN","FEB","MAR","APR","MAY","JUN","JUL","AUG","SEP","OCT","NOV","DEC"}, 0),(DAY($D25))),INDIRECT(_xlfn.CONCAT("'Order Tracker'!S12:T",Data!$AM$3)))=0,"- -",SUMIF(INDIRECT(_xlfn.CONCAT("'Order Tracker'!E12:F",Data!$AM$3)),DATE(2025,MATCH(UPPER($I$10), {"JAN","FEB","MAR","APR","MAY","JUN","JUL","AUG","SEP","OCT","NOV","DEC"}, 0),(DAY($D25))),INDIRECT(_xlfn.CONCAT("'Order Tracker'!S12:T",Data!$AM$3))))</f>
        <v>- -</v>
      </c>
      <c r="K25" s="156">
        <f t="shared" ca="1" si="1"/>
        <v>0</v>
      </c>
      <c r="L25" s="10"/>
      <c r="M25" s="160" t="str">
        <f ca="1">IF(SUMIF(INDIRECT(_xlfn.CONCAT("'Order Tracker'!E12:F",Data!$AM$3)),DATE(2025,MATCH(UPPER($M$10), {"JAN","FEB","MAR","APR","MAY","JUN","JUL","AUG","SEP","OCT","NOV","DEC"}, 0),(DAY($D25))),INDIRECT(_xlfn.CONCAT("'Order Tracker'!Q12:R",Data!$AM$3)))=0,"- -",SUMIF(INDIRECT(_xlfn.CONCAT("'Order Tracker'!E12:F",Data!$AM$3)),DATE(2025,MATCH(UPPER($M$10), {"JAN","FEB","MAR","APR","MAY","JUN","JUL","AUG","SEP","OCT","NOV","DEC"}, 0),(DAY($D25))),INDIRECT(_xlfn.CONCAT("'Order Tracker'!Q12:R",Data!$AM$3))))</f>
        <v>- -</v>
      </c>
      <c r="N25" s="160" t="str">
        <f ca="1">IF(SUMIF(INDIRECT(_xlfn.CONCAT("'Order Tracker'!E12:F",Data!$AM$3)),DATE(2025,MATCH(UPPER($M$10), {"JAN","FEB","MAR","APR","MAY","JUN","JUL","AUG","SEP","OCT","NOV","DEC"}, 0),(DAY($D25))),INDIRECT(_xlfn.CONCAT("'Order Tracker'!S12:T",Data!$AM$3)))=0,"- -",SUMIF(INDIRECT(_xlfn.CONCAT("'Order Tracker'!E12:F",Data!$AM$3)),DATE(2025,MATCH(UPPER($M$10), {"JAN","FEB","MAR","APR","MAY","JUN","JUL","AUG","SEP","OCT","NOV","DEC"}, 0),(DAY($D25))),INDIRECT(_xlfn.CONCAT("'Order Tracker'!S12:T",Data!$AM$3))))</f>
        <v>- -</v>
      </c>
      <c r="O25" s="156">
        <f t="shared" ca="1" si="2"/>
        <v>0</v>
      </c>
      <c r="P25" s="10"/>
      <c r="Q25" s="160" t="str">
        <f ca="1">IF(SUMIF(INDIRECT(_xlfn.CONCAT("'Order Tracker'!E12:F",Data!$AM$3)),DATE(2025,MATCH(UPPER($Q$10), {"JAN","FEB","MAR","APR","MAY","JUN","JUL","AUG","SEP","OCT","NOV","DEC"}, 0),(DAY($D25))),INDIRECT(_xlfn.CONCAT("'Order Tracker'!Q12:R",Data!$AM$3)))=0,"- -",SUMIF(INDIRECT(_xlfn.CONCAT("'Order Tracker'!E12:F",Data!$AM$3)),DATE(2025,MATCH(UPPER($Q$10), {"JAN","FEB","MAR","APR","MAY","JUN","JUL","AUG","SEP","OCT","NOV","DEC"}, 0),(DAY($D25))),INDIRECT(_xlfn.CONCAT("'Order Tracker'!Q12:R",Data!$AM$3))))</f>
        <v>- -</v>
      </c>
      <c r="R25" s="160" t="str">
        <f ca="1">IF(SUMIF(INDIRECT(_xlfn.CONCAT("'Order Tracker'!E12:F",Data!$AM$3)),DATE(2025,MATCH(UPPER($Q$10), {"JAN","FEB","MAR","APR","MAY","JUN","JUL","AUG","SEP","OCT","NOV","DEC"}, 0),(DAY($D25))),INDIRECT(_xlfn.CONCAT("'Order Tracker'!S12:T",Data!$AM$3)))=0,"- -",SUMIF(INDIRECT(_xlfn.CONCAT("'Order Tracker'!E12:F",Data!$AM$3)),DATE(2025,MATCH(UPPER($Q$10), {"JAN","FEB","MAR","APR","MAY","JUN","JUL","AUG","SEP","OCT","NOV","DEC"}, 0),(DAY($D25))),INDIRECT(_xlfn.CONCAT("'Order Tracker'!S12:T",Data!$AM$3))))</f>
        <v>- -</v>
      </c>
      <c r="S25" s="156">
        <f t="shared" ca="1" si="3"/>
        <v>0</v>
      </c>
      <c r="T25" s="10"/>
      <c r="U25" s="160" t="str">
        <f ca="1">IF(SUMIF(INDIRECT(_xlfn.CONCAT("'Order Tracker'!E12:F",Data!$AM$3)),DATE(2025,MATCH(UPPER($U$10), {"JAN","FEB","MAR","APR","MAY","JUN","JUL","AUG","SEP","OCT","NOV","DEC"}, 0),(DAY($D25))),INDIRECT(_xlfn.CONCAT("'Order Tracker'!Q12:R",Data!$AM$3)))=0,"- -",SUMIF(INDIRECT(_xlfn.CONCAT("'Order Tracker'!E12:F",Data!$AM$3)),DATE(2025,MATCH(UPPER($U$10), {"JAN","FEB","MAR","APR","MAY","JUN","JUL","AUG","SEP","OCT","NOV","DEC"}, 0),(DAY($D25))),INDIRECT(_xlfn.CONCAT("'Order Tracker'!Q12:R",Data!$AM$3))))</f>
        <v>- -</v>
      </c>
      <c r="V25" s="160" t="str">
        <f ca="1">IF(SUMIF(INDIRECT(_xlfn.CONCAT("'Order Tracker'!E12:F",Data!$AM$3)),DATE(2025,MATCH(UPPER($U$10), {"JAN","FEB","MAR","APR","MAY","JUN","JUL","AUG","SEP","OCT","NOV","DEC"}, 0),(DAY($D25))),INDIRECT(_xlfn.CONCAT("'Order Tracker'!S12:T",Data!$AM$3)))=0,"- -",SUMIF(INDIRECT(_xlfn.CONCAT("'Order Tracker'!E12:F",Data!$AM$3)),DATE(2025,MATCH(UPPER($U$10), {"JAN","FEB","MAR","APR","MAY","JUN","JUL","AUG","SEP","OCT","NOV","DEC"}, 0),(DAY($D25))),INDIRECT(_xlfn.CONCAT("'Order Tracker'!S12:T",Data!$AM$3))))</f>
        <v>- -</v>
      </c>
      <c r="W25" s="156">
        <f t="shared" ca="1" si="4"/>
        <v>0</v>
      </c>
      <c r="X25" s="10"/>
      <c r="Y25" s="160" t="str">
        <f ca="1">IF(SUMIF(INDIRECT(_xlfn.CONCAT("'Order Tracker'!E12:F",Data!$AM$3)),DATE(2025,MATCH(UPPER($Y$10), {"JAN","FEB","MAR","APR","MAY","JUN","JUL","AUG","SEP","OCT","NOV","DEC"}, 0),(DAY($D25))),INDIRECT(_xlfn.CONCAT("'Order Tracker'!Q12:R",Data!$AM$3)))=0,"- -",SUMIF(INDIRECT(_xlfn.CONCAT("'Order Tracker'!E12:F",Data!$AM$3)),DATE(2025,MATCH(UPPER($Y$10), {"JAN","FEB","MAR","APR","MAY","JUN","JUL","AUG","SEP","OCT","NOV","DEC"}, 0),(DAY($D25))),INDIRECT(_xlfn.CONCAT("'Order Tracker'!Q12:R",Data!$AM$3))))</f>
        <v>- -</v>
      </c>
      <c r="Z25" s="160" t="str">
        <f ca="1">IF(SUMIF(INDIRECT(_xlfn.CONCAT("'Order Tracker'!E12:F",Data!$AM$3)),DATE(2025,MATCH(UPPER($Y$10), {"JAN","FEB","MAR","APR","MAY","JUN","JUL","AUG","SEP","OCT","NOV","DEC"}, 0),(DAY($D25))),INDIRECT(_xlfn.CONCAT("'Order Tracker'!S12:T",Data!$AM$3)))=0,"- -",SUMIF(INDIRECT(_xlfn.CONCAT("'Order Tracker'!E12:F",Data!$AM$3)),DATE(2025,MATCH(UPPER($Y$10), {"JAN","FEB","MAR","APR","MAY","JUN","JUL","AUG","SEP","OCT","NOV","DEC"}, 0),(DAY($D25))),INDIRECT(_xlfn.CONCAT("'Order Tracker'!S12:T",Data!$AM$3))))</f>
        <v>- -</v>
      </c>
      <c r="AA25" s="156">
        <f t="shared" ca="1" si="5"/>
        <v>0</v>
      </c>
      <c r="AB25" s="10"/>
      <c r="AC25" s="160" t="str">
        <f ca="1">IF(SUMIF(INDIRECT(_xlfn.CONCAT("'Order Tracker'!E12:F",Data!$AM$3)),DATE(2025,MATCH(UPPER($AC$10), {"JAN","FEB","MAR","APR","MAY","JUN","JUL","AUG","SEP","OCT","NOV","DEC"}, 0),(DAY($D25))),INDIRECT(_xlfn.CONCAT("'Order Tracker'!Q12:R",Data!$AM$3)))=0,"- -",SUMIF(INDIRECT(_xlfn.CONCAT("'Order Tracker'!E12:F",Data!$AM$3)),DATE(2025,MATCH(UPPER($AC$10), {"JAN","FEB","MAR","APR","MAY","JUN","JUL","AUG","SEP","OCT","NOV","DEC"}, 0),(DAY($D25))),INDIRECT(_xlfn.CONCAT("'Order Tracker'!Q12:R",Data!$AM$3))))</f>
        <v>- -</v>
      </c>
      <c r="AD25" s="160" t="str">
        <f ca="1">IF(SUMIF(INDIRECT(_xlfn.CONCAT("'Order Tracker'!E12:F",Data!$AM$3)),DATE(2025,MATCH(UPPER($AC$10), {"JAN","FEB","MAR","APR","MAY","JUN","JUL","AUG","SEP","OCT","NOV","DEC"}, 0),(DAY($D25))),INDIRECT(_xlfn.CONCAT("'Order Tracker'!S12:T",Data!$AM$3)))=0,"- -",SUMIF(INDIRECT(_xlfn.CONCAT("'Order Tracker'!E12:F",Data!$AM$3)),DATE(2025,MATCH(UPPER($AC$10), {"JAN","FEB","MAR","APR","MAY","JUN","JUL","AUG","SEP","OCT","NOV","DEC"}, 0),(DAY($D25))),INDIRECT(_xlfn.CONCAT("'Order Tracker'!S12:T",Data!$AM$3))))</f>
        <v>- -</v>
      </c>
      <c r="AE25" s="156">
        <f t="shared" ca="1" si="6"/>
        <v>0</v>
      </c>
      <c r="AF25" s="10"/>
      <c r="AG25" s="160" t="str">
        <f ca="1">IF(SUMIF(INDIRECT(_xlfn.CONCAT("'Order Tracker'!E12:F",Data!$AM$3)),DATE(2025,MATCH(UPPER($AG$10), {"JAN","FEB","MAR","APR","MAY","JUN","JUL","AUG","SEP","OCT","NOV","DEC"}, 0),(DAY($D25))),INDIRECT(_xlfn.CONCAT("'Order Tracker'!Q12:R",Data!$AM$3)))=0,"- -",SUMIF(INDIRECT(_xlfn.CONCAT("'Order Tracker'!E12:F",Data!$AM$3)),DATE(2025,MATCH(UPPER($AG$10), {"JAN","FEB","MAR","APR","MAY","JUN","JUL","AUG","SEP","OCT","NOV","DEC"}, 0),(DAY($D25))),INDIRECT(_xlfn.CONCAT("'Order Tracker'!Q12:R",Data!$AM$3))))</f>
        <v>- -</v>
      </c>
      <c r="AH25" s="160" t="str">
        <f ca="1">IF(SUMIF(INDIRECT(_xlfn.CONCAT("'Order Tracker'!E12:F",Data!$AM$3)),DATE(2025,MATCH(UPPER($AG$10), {"JAN","FEB","MAR","APR","MAY","JUN","JUL","AUG","SEP","OCT","NOV","DEC"}, 0),(DAY($D25))),INDIRECT(_xlfn.CONCAT("'Order Tracker'!S12:T",Data!$AM$3)))=0,"- -",SUMIF(INDIRECT(_xlfn.CONCAT("'Order Tracker'!E12:F",Data!$AM$3)),DATE(2025,MATCH(UPPER($AG$10), {"JAN","FEB","MAR","APR","MAY","JUN","JUL","AUG","SEP","OCT","NOV","DEC"}, 0),(DAY($D25))),INDIRECT(_xlfn.CONCAT("'Order Tracker'!S12:T",Data!$AM$3))))</f>
        <v>- -</v>
      </c>
      <c r="AI25" s="156">
        <f t="shared" ca="1" si="7"/>
        <v>0</v>
      </c>
      <c r="AJ25" s="10"/>
      <c r="AK25" s="160" t="str">
        <f ca="1">IF(SUMIF(INDIRECT(_xlfn.CONCAT("'Order Tracker'!E12:F",Data!$AM$3)),DATE(2025,MATCH(UPPER($AK$10), {"JAN","FEB","MAR","APR","MAY","JUN","JUL","AUG","SEP","OCT","NOV","DEC"}, 0),(DAY($D25))),INDIRECT(_xlfn.CONCAT("'Order Tracker'!Q12:R",Data!$AM$3)))=0,"- -",SUMIF(INDIRECT(_xlfn.CONCAT("'Order Tracker'!E12:F",Data!$AM$3)),DATE(2025,MATCH(UPPER($AK$10), {"JAN","FEB","MAR","APR","MAY","JUN","JUL","AUG","SEP","OCT","NOV","DEC"}, 0),(DAY($D25))),INDIRECT(_xlfn.CONCAT("'Order Tracker'!Q12:R",Data!$AM$3))))</f>
        <v>- -</v>
      </c>
      <c r="AL25" s="160" t="str">
        <f ca="1">IF(SUMIF(INDIRECT(_xlfn.CONCAT("'Order Tracker'!E12:F",Data!$AM$3)),DATE(2025,MATCH(UPPER($AK$10), {"JAN","FEB","MAR","APR","MAY","JUN","JUL","AUG","SEP","OCT","NOV","DEC"}, 0),(DAY($D25))),INDIRECT(_xlfn.CONCAT("'Order Tracker'!S12:T",Data!$AM$3)))=0,"- -",SUMIF(INDIRECT(_xlfn.CONCAT("'Order Tracker'!E12:F",Data!$AM$3)),DATE(2025,MATCH(UPPER($AK$10), {"JAN","FEB","MAR","APR","MAY","JUN","JUL","AUG","SEP","OCT","NOV","DEC"}, 0),(DAY($D25))),INDIRECT(_xlfn.CONCAT("'Order Tracker'!S12:T",Data!$AM$3))))</f>
        <v>- -</v>
      </c>
      <c r="AM25" s="156">
        <f t="shared" ca="1" si="8"/>
        <v>0</v>
      </c>
      <c r="AN25" s="10"/>
      <c r="AO25" s="160" t="str">
        <f ca="1">IF(SUMIF(INDIRECT(_xlfn.CONCAT("'Order Tracker'!E12:F",Data!$AM$3)),DATE(2025,MATCH(UPPER($AO$10), {"JAN","FEB","MAR","APR","MAY","JUN","JUL","AUG","SEP","OCT","NOV","DEC"}, 0),(DAY($D25))),INDIRECT(_xlfn.CONCAT("'Order Tracker'!Q12:R",Data!$AM$3)))=0,"- -",SUMIF(INDIRECT(_xlfn.CONCAT("'Order Tracker'!E12:F",Data!$AM$3)),DATE(2025,MATCH(UPPER($AO$10), {"JAN","FEB","MAR","APR","MAY","JUN","JUL","AUG","SEP","OCT","NOV","DEC"}, 0),(DAY($D25))),INDIRECT(_xlfn.CONCAT("'Order Tracker'!Q12:R",Data!$AM$3))))</f>
        <v>- -</v>
      </c>
      <c r="AP25" s="160" t="str">
        <f ca="1">IF(SUMIF(INDIRECT(_xlfn.CONCAT("'Order Tracker'!E12:F",Data!$AM$3)),DATE(2025,MATCH(UPPER($AO$10), {"JAN","FEB","MAR","APR","MAY","JUN","JUL","AUG","SEP","OCT","NOV","DEC"}, 0),(DAY($D25))),INDIRECT(_xlfn.CONCAT("'Order Tracker'!S12:T",Data!$AM$3)))=0,"- -",SUMIF(INDIRECT(_xlfn.CONCAT("'Order Tracker'!E12:F",Data!$AM$3)),DATE(2025,MATCH(UPPER($AO$10), {"JAN","FEB","MAR","APR","MAY","JUN","JUL","AUG","SEP","OCT","NOV","DEC"}, 0),(DAY($D25))),INDIRECT(_xlfn.CONCAT("'Order Tracker'!S12:T",Data!$AM$3))))</f>
        <v>- -</v>
      </c>
      <c r="AQ25" s="156">
        <f t="shared" ca="1" si="9"/>
        <v>0</v>
      </c>
      <c r="AR25" s="10"/>
      <c r="AS25" s="160" t="str">
        <f ca="1">IF(SUMIF(INDIRECT(_xlfn.CONCAT("'Order Tracker'!E12:F",Data!$AM$3)),DATE(2025,MATCH(UPPER($AS$10), {"JAN","FEB","MAR","APR","MAY","JUN","JUL","AUG","SEP","OCT","NOV","DEC"}, 0),(DAY($D25))),INDIRECT(_xlfn.CONCAT("'Order Tracker'!Q12:R",Data!$AM$3)))=0,"- -",SUMIF(INDIRECT(_xlfn.CONCAT("'Order Tracker'!E12:F",Data!$AM$3)),DATE(2025,MATCH(UPPER($AS$10), {"JAN","FEB","MAR","APR","MAY","JUN","JUL","AUG","SEP","OCT","NOV","DEC"}, 0),(DAY($D25))),INDIRECT(_xlfn.CONCAT("'Order Tracker'!Q12:R",Data!$AM$3))))</f>
        <v>- -</v>
      </c>
      <c r="AT25" s="160" t="str">
        <f ca="1">IF(SUMIF(INDIRECT(_xlfn.CONCAT("'Order Tracker'!E12:F",Data!$AM$3)),DATE(2025,MATCH(UPPER($AS$10), {"JAN","FEB","MAR","APR","MAY","JUN","JUL","AUG","SEP","OCT","NOV","DEC"}, 0),(DAY($D25))),INDIRECT(_xlfn.CONCAT("'Order Tracker'!S12:T",Data!$AM$3)))=0,"- -",SUMIF(INDIRECT(_xlfn.CONCAT("'Order Tracker'!E12:F",Data!$AM$3)),DATE(2025,MATCH(UPPER($AS$10), {"JAN","FEB","MAR","APR","MAY","JUN","JUL","AUG","SEP","OCT","NOV","DEC"}, 0),(DAY($D25))),INDIRECT(_xlfn.CONCAT("'Order Tracker'!S12:T",Data!$AM$3))))</f>
        <v>- -</v>
      </c>
      <c r="AU25" s="156">
        <f t="shared" ca="1" si="10"/>
        <v>0</v>
      </c>
      <c r="AV25" s="7"/>
      <c r="AW25" s="160" t="str">
        <f ca="1">IF(SUMIF(INDIRECT(_xlfn.CONCAT("'Order Tracker'!E12:F",Data!$AM$3)),DATE(2025,MATCH(UPPER($AW$10), {"JAN","FEB","MAR","APR","MAY","JUN","JUL","AUG","SEP","OCT","NOV","DEC"}, 0),(DAY($D25))),INDIRECT(_xlfn.CONCAT("'Order Tracker'!Q12:R",Data!$AM$3)))=0,"- -",SUMIF(INDIRECT(_xlfn.CONCAT("'Order Tracker'!E12:F",Data!$AM$3)),DATE(2025,MATCH(UPPER($AW$10), {"JAN","FEB","MAR","APR","MAY","JUN","JUL","AUG","SEP","OCT","NOV","DEC"}, 0),(DAY($D25))),INDIRECT(_xlfn.CONCAT("'Order Tracker'!Q12:R",Data!$AM$3))))</f>
        <v>- -</v>
      </c>
      <c r="AX25" s="160" t="str">
        <f ca="1">IF(SUMIF(INDIRECT(_xlfn.CONCAT("'Order Tracker'!E12:F",Data!$AM$3)),DATE(2025,MATCH(UPPER($AW$10), {"JAN","FEB","MAR","APR","MAY","JUN","JUL","AUG","SEP","OCT","NOV","DEC"}, 0),(DAY($D25))),INDIRECT(_xlfn.CONCAT("'Order Tracker'!S12:T",Data!$AM$3)))=0,"- -",SUMIF(INDIRECT(_xlfn.CONCAT("'Order Tracker'!E12:F",Data!$AM$3)),DATE(2025,MATCH(UPPER($AW$10), {"JAN","FEB","MAR","APR","MAY","JUN","JUL","AUG","SEP","OCT","NOV","DEC"}, 0),(DAY($D25))),INDIRECT(_xlfn.CONCAT("'Order Tracker'!S12:T",Data!$AM$3))))</f>
        <v>- -</v>
      </c>
      <c r="AY25" s="156">
        <f t="shared" ca="1" si="11"/>
        <v>0</v>
      </c>
      <c r="AZ25" s="109"/>
    </row>
    <row r="26" spans="4:52" ht="18" hidden="1" x14ac:dyDescent="0.2">
      <c r="D26" s="151">
        <v>13</v>
      </c>
      <c r="E26" s="160" t="str">
        <f ca="1">IF(SUMIF(INDIRECT(_xlfn.CONCAT("'Order Tracker'!E12:F",Data!$AM$3)),DATE(2025,MATCH(UPPER($E$10), {"JAN","FEB","MAR","APR","MAY","JUN","JUL","AUG","SEP","OCT","NOV","DEC"}, 0),(DAY($D26))),INDIRECT(_xlfn.CONCAT("'Order Tracker'!Q12:R",Data!$AM$3)))=0,"- -",SUMIF(INDIRECT(_xlfn.CONCAT("'Order Tracker'!E12:F",Data!$AM$3)),DATE(2025,MATCH(UPPER($E$10), {"JAN","FEB","MAR","APR","MAY","JUN","JUL","AUG","SEP","OCT","NOV","DEC"}, 0),(DAY($D26))),INDIRECT(_xlfn.CONCAT("'Order Tracker'!Q12:R",Data!$AM$3))))</f>
        <v>- -</v>
      </c>
      <c r="F26" s="160" t="str">
        <f ca="1">IF(SUMIF(INDIRECT(_xlfn.CONCAT("'Order Tracker'!E12:F",Data!$AM$3)),DATE(2025,MATCH(UPPER($E$10), {"JAN","FEB","MAR","APR","MAY","JUN","JUL","AUG","SEP","OCT","NOV","DEC"}, 0),(DAY($D26))),INDIRECT(_xlfn.CONCAT("'Order Tracker'!S12:T",Data!$AM$3)))=0,"- -",SUMIF(INDIRECT(_xlfn.CONCAT("'Order Tracker'!E12:F",Data!$AM$3)),DATE(2025,MATCH(UPPER($E$10), {"JAN","FEB","MAR","APR","MAY","JUN","JUL","AUG","SEP","OCT","NOV","DEC"}, 0),(DAY($D26))),INDIRECT(_xlfn.CONCAT("'Order Tracker'!S12:T",Data!$AM$3))))</f>
        <v>- -</v>
      </c>
      <c r="G26" s="156">
        <f t="shared" ca="1" si="0"/>
        <v>0</v>
      </c>
      <c r="H26" s="10"/>
      <c r="I26" s="160" t="str">
        <f ca="1">IF(SUMIF(INDIRECT(_xlfn.CONCAT("'Order Tracker'!E12:F",Data!$AM$3)),DATE(2025,MATCH(UPPER($I$10), {"JAN","FEB","MAR","APR","MAY","JUN","JUL","AUG","SEP","OCT","NOV","DEC"}, 0),(DAY($D26))),INDIRECT(_xlfn.CONCAT("'Order Tracker'!Q12:R",Data!$AM$3)))=0,"- -",SUMIF(INDIRECT(_xlfn.CONCAT("'Order Tracker'!E12:F",Data!$AM$3)),DATE(2025,MATCH(UPPER($I$10), {"JAN","FEB","MAR","APR","MAY","JUN","JUL","AUG","SEP","OCT","NOV","DEC"}, 0),(DAY($D26))),INDIRECT(_xlfn.CONCAT("'Order Tracker'!Q12:R",Data!$AM$3))))</f>
        <v>- -</v>
      </c>
      <c r="J26" s="160" t="str">
        <f ca="1">IF(SUMIF(INDIRECT(_xlfn.CONCAT("'Order Tracker'!E12:F",Data!$AM$3)),DATE(2025,MATCH(UPPER($I$10), {"JAN","FEB","MAR","APR","MAY","JUN","JUL","AUG","SEP","OCT","NOV","DEC"}, 0),(DAY($D26))),INDIRECT(_xlfn.CONCAT("'Order Tracker'!S12:T",Data!$AM$3)))=0,"- -",SUMIF(INDIRECT(_xlfn.CONCAT("'Order Tracker'!E12:F",Data!$AM$3)),DATE(2025,MATCH(UPPER($I$10), {"JAN","FEB","MAR","APR","MAY","JUN","JUL","AUG","SEP","OCT","NOV","DEC"}, 0),(DAY($D26))),INDIRECT(_xlfn.CONCAT("'Order Tracker'!S12:T",Data!$AM$3))))</f>
        <v>- -</v>
      </c>
      <c r="K26" s="156">
        <f t="shared" ca="1" si="1"/>
        <v>0</v>
      </c>
      <c r="L26" s="10"/>
      <c r="M26" s="160" t="str">
        <f ca="1">IF(SUMIF(INDIRECT(_xlfn.CONCAT("'Order Tracker'!E12:F",Data!$AM$3)),DATE(2025,MATCH(UPPER($M$10), {"JAN","FEB","MAR","APR","MAY","JUN","JUL","AUG","SEP","OCT","NOV","DEC"}, 0),(DAY($D26))),INDIRECT(_xlfn.CONCAT("'Order Tracker'!Q12:R",Data!$AM$3)))=0,"- -",SUMIF(INDIRECT(_xlfn.CONCAT("'Order Tracker'!E12:F",Data!$AM$3)),DATE(2025,MATCH(UPPER($M$10), {"JAN","FEB","MAR","APR","MAY","JUN","JUL","AUG","SEP","OCT","NOV","DEC"}, 0),(DAY($D26))),INDIRECT(_xlfn.CONCAT("'Order Tracker'!Q12:R",Data!$AM$3))))</f>
        <v>- -</v>
      </c>
      <c r="N26" s="160" t="str">
        <f ca="1">IF(SUMIF(INDIRECT(_xlfn.CONCAT("'Order Tracker'!E12:F",Data!$AM$3)),DATE(2025,MATCH(UPPER($M$10), {"JAN","FEB","MAR","APR","MAY","JUN","JUL","AUG","SEP","OCT","NOV","DEC"}, 0),(DAY($D26))),INDIRECT(_xlfn.CONCAT("'Order Tracker'!S12:T",Data!$AM$3)))=0,"- -",SUMIF(INDIRECT(_xlfn.CONCAT("'Order Tracker'!E12:F",Data!$AM$3)),DATE(2025,MATCH(UPPER($M$10), {"JAN","FEB","MAR","APR","MAY","JUN","JUL","AUG","SEP","OCT","NOV","DEC"}, 0),(DAY($D26))),INDIRECT(_xlfn.CONCAT("'Order Tracker'!S12:T",Data!$AM$3))))</f>
        <v>- -</v>
      </c>
      <c r="O26" s="156">
        <f t="shared" ca="1" si="2"/>
        <v>0</v>
      </c>
      <c r="P26" s="10"/>
      <c r="Q26" s="160" t="str">
        <f ca="1">IF(SUMIF(INDIRECT(_xlfn.CONCAT("'Order Tracker'!E12:F",Data!$AM$3)),DATE(2025,MATCH(UPPER($Q$10), {"JAN","FEB","MAR","APR","MAY","JUN","JUL","AUG","SEP","OCT","NOV","DEC"}, 0),(DAY($D26))),INDIRECT(_xlfn.CONCAT("'Order Tracker'!Q12:R",Data!$AM$3)))=0,"- -",SUMIF(INDIRECT(_xlfn.CONCAT("'Order Tracker'!E12:F",Data!$AM$3)),DATE(2025,MATCH(UPPER($Q$10), {"JAN","FEB","MAR","APR","MAY","JUN","JUL","AUG","SEP","OCT","NOV","DEC"}, 0),(DAY($D26))),INDIRECT(_xlfn.CONCAT("'Order Tracker'!Q12:R",Data!$AM$3))))</f>
        <v>- -</v>
      </c>
      <c r="R26" s="160" t="str">
        <f ca="1">IF(SUMIF(INDIRECT(_xlfn.CONCAT("'Order Tracker'!E12:F",Data!$AM$3)),DATE(2025,MATCH(UPPER($Q$10), {"JAN","FEB","MAR","APR","MAY","JUN","JUL","AUG","SEP","OCT","NOV","DEC"}, 0),(DAY($D26))),INDIRECT(_xlfn.CONCAT("'Order Tracker'!S12:T",Data!$AM$3)))=0,"- -",SUMIF(INDIRECT(_xlfn.CONCAT("'Order Tracker'!E12:F",Data!$AM$3)),DATE(2025,MATCH(UPPER($Q$10), {"JAN","FEB","MAR","APR","MAY","JUN","JUL","AUG","SEP","OCT","NOV","DEC"}, 0),(DAY($D26))),INDIRECT(_xlfn.CONCAT("'Order Tracker'!S12:T",Data!$AM$3))))</f>
        <v>- -</v>
      </c>
      <c r="S26" s="156">
        <f t="shared" ca="1" si="3"/>
        <v>0</v>
      </c>
      <c r="T26" s="10"/>
      <c r="U26" s="160" t="str">
        <f ca="1">IF(SUMIF(INDIRECT(_xlfn.CONCAT("'Order Tracker'!E12:F",Data!$AM$3)),DATE(2025,MATCH(UPPER($U$10), {"JAN","FEB","MAR","APR","MAY","JUN","JUL","AUG","SEP","OCT","NOV","DEC"}, 0),(DAY($D26))),INDIRECT(_xlfn.CONCAT("'Order Tracker'!Q12:R",Data!$AM$3)))=0,"- -",SUMIF(INDIRECT(_xlfn.CONCAT("'Order Tracker'!E12:F",Data!$AM$3)),DATE(2025,MATCH(UPPER($U$10), {"JAN","FEB","MAR","APR","MAY","JUN","JUL","AUG","SEP","OCT","NOV","DEC"}, 0),(DAY($D26))),INDIRECT(_xlfn.CONCAT("'Order Tracker'!Q12:R",Data!$AM$3))))</f>
        <v>- -</v>
      </c>
      <c r="V26" s="160" t="str">
        <f ca="1">IF(SUMIF(INDIRECT(_xlfn.CONCAT("'Order Tracker'!E12:F",Data!$AM$3)),DATE(2025,MATCH(UPPER($U$10), {"JAN","FEB","MAR","APR","MAY","JUN","JUL","AUG","SEP","OCT","NOV","DEC"}, 0),(DAY($D26))),INDIRECT(_xlfn.CONCAT("'Order Tracker'!S12:T",Data!$AM$3)))=0,"- -",SUMIF(INDIRECT(_xlfn.CONCAT("'Order Tracker'!E12:F",Data!$AM$3)),DATE(2025,MATCH(UPPER($U$10), {"JAN","FEB","MAR","APR","MAY","JUN","JUL","AUG","SEP","OCT","NOV","DEC"}, 0),(DAY($D26))),INDIRECT(_xlfn.CONCAT("'Order Tracker'!S12:T",Data!$AM$3))))</f>
        <v>- -</v>
      </c>
      <c r="W26" s="156">
        <f t="shared" ca="1" si="4"/>
        <v>0</v>
      </c>
      <c r="X26" s="10"/>
      <c r="Y26" s="160" t="str">
        <f ca="1">IF(SUMIF(INDIRECT(_xlfn.CONCAT("'Order Tracker'!E12:F",Data!$AM$3)),DATE(2025,MATCH(UPPER($Y$10), {"JAN","FEB","MAR","APR","MAY","JUN","JUL","AUG","SEP","OCT","NOV","DEC"}, 0),(DAY($D26))),INDIRECT(_xlfn.CONCAT("'Order Tracker'!Q12:R",Data!$AM$3)))=0,"- -",SUMIF(INDIRECT(_xlfn.CONCAT("'Order Tracker'!E12:F",Data!$AM$3)),DATE(2025,MATCH(UPPER($Y$10), {"JAN","FEB","MAR","APR","MAY","JUN","JUL","AUG","SEP","OCT","NOV","DEC"}, 0),(DAY($D26))),INDIRECT(_xlfn.CONCAT("'Order Tracker'!Q12:R",Data!$AM$3))))</f>
        <v>- -</v>
      </c>
      <c r="Z26" s="160" t="str">
        <f ca="1">IF(SUMIF(INDIRECT(_xlfn.CONCAT("'Order Tracker'!E12:F",Data!$AM$3)),DATE(2025,MATCH(UPPER($Y$10), {"JAN","FEB","MAR","APR","MAY","JUN","JUL","AUG","SEP","OCT","NOV","DEC"}, 0),(DAY($D26))),INDIRECT(_xlfn.CONCAT("'Order Tracker'!S12:T",Data!$AM$3)))=0,"- -",SUMIF(INDIRECT(_xlfn.CONCAT("'Order Tracker'!E12:F",Data!$AM$3)),DATE(2025,MATCH(UPPER($Y$10), {"JAN","FEB","MAR","APR","MAY","JUN","JUL","AUG","SEP","OCT","NOV","DEC"}, 0),(DAY($D26))),INDIRECT(_xlfn.CONCAT("'Order Tracker'!S12:T",Data!$AM$3))))</f>
        <v>- -</v>
      </c>
      <c r="AA26" s="156">
        <f t="shared" ca="1" si="5"/>
        <v>0</v>
      </c>
      <c r="AB26" s="10"/>
      <c r="AC26" s="160" t="str">
        <f ca="1">IF(SUMIF(INDIRECT(_xlfn.CONCAT("'Order Tracker'!E12:F",Data!$AM$3)),DATE(2025,MATCH(UPPER($AC$10), {"JAN","FEB","MAR","APR","MAY","JUN","JUL","AUG","SEP","OCT","NOV","DEC"}, 0),(DAY($D26))),INDIRECT(_xlfn.CONCAT("'Order Tracker'!Q12:R",Data!$AM$3)))=0,"- -",SUMIF(INDIRECT(_xlfn.CONCAT("'Order Tracker'!E12:F",Data!$AM$3)),DATE(2025,MATCH(UPPER($AC$10), {"JAN","FEB","MAR","APR","MAY","JUN","JUL","AUG","SEP","OCT","NOV","DEC"}, 0),(DAY($D26))),INDIRECT(_xlfn.CONCAT("'Order Tracker'!Q12:R",Data!$AM$3))))</f>
        <v>- -</v>
      </c>
      <c r="AD26" s="160" t="str">
        <f ca="1">IF(SUMIF(INDIRECT(_xlfn.CONCAT("'Order Tracker'!E12:F",Data!$AM$3)),DATE(2025,MATCH(UPPER($AC$10), {"JAN","FEB","MAR","APR","MAY","JUN","JUL","AUG","SEP","OCT","NOV","DEC"}, 0),(DAY($D26))),INDIRECT(_xlfn.CONCAT("'Order Tracker'!S12:T",Data!$AM$3)))=0,"- -",SUMIF(INDIRECT(_xlfn.CONCAT("'Order Tracker'!E12:F",Data!$AM$3)),DATE(2025,MATCH(UPPER($AC$10), {"JAN","FEB","MAR","APR","MAY","JUN","JUL","AUG","SEP","OCT","NOV","DEC"}, 0),(DAY($D26))),INDIRECT(_xlfn.CONCAT("'Order Tracker'!S12:T",Data!$AM$3))))</f>
        <v>- -</v>
      </c>
      <c r="AE26" s="156">
        <f t="shared" ca="1" si="6"/>
        <v>0</v>
      </c>
      <c r="AF26" s="10"/>
      <c r="AG26" s="160" t="str">
        <f ca="1">IF(SUMIF(INDIRECT(_xlfn.CONCAT("'Order Tracker'!E12:F",Data!$AM$3)),DATE(2025,MATCH(UPPER($AG$10), {"JAN","FEB","MAR","APR","MAY","JUN","JUL","AUG","SEP","OCT","NOV","DEC"}, 0),(DAY($D26))),INDIRECT(_xlfn.CONCAT("'Order Tracker'!Q12:R",Data!$AM$3)))=0,"- -",SUMIF(INDIRECT(_xlfn.CONCAT("'Order Tracker'!E12:F",Data!$AM$3)),DATE(2025,MATCH(UPPER($AG$10), {"JAN","FEB","MAR","APR","MAY","JUN","JUL","AUG","SEP","OCT","NOV","DEC"}, 0),(DAY($D26))),INDIRECT(_xlfn.CONCAT("'Order Tracker'!Q12:R",Data!$AM$3))))</f>
        <v>- -</v>
      </c>
      <c r="AH26" s="160" t="str">
        <f ca="1">IF(SUMIF(INDIRECT(_xlfn.CONCAT("'Order Tracker'!E12:F",Data!$AM$3)),DATE(2025,MATCH(UPPER($AG$10), {"JAN","FEB","MAR","APR","MAY","JUN","JUL","AUG","SEP","OCT","NOV","DEC"}, 0),(DAY($D26))),INDIRECT(_xlfn.CONCAT("'Order Tracker'!S12:T",Data!$AM$3)))=0,"- -",SUMIF(INDIRECT(_xlfn.CONCAT("'Order Tracker'!E12:F",Data!$AM$3)),DATE(2025,MATCH(UPPER($AG$10), {"JAN","FEB","MAR","APR","MAY","JUN","JUL","AUG","SEP","OCT","NOV","DEC"}, 0),(DAY($D26))),INDIRECT(_xlfn.CONCAT("'Order Tracker'!S12:T",Data!$AM$3))))</f>
        <v>- -</v>
      </c>
      <c r="AI26" s="156">
        <f t="shared" ca="1" si="7"/>
        <v>0</v>
      </c>
      <c r="AJ26" s="10"/>
      <c r="AK26" s="160" t="str">
        <f ca="1">IF(SUMIF(INDIRECT(_xlfn.CONCAT("'Order Tracker'!E12:F",Data!$AM$3)),DATE(2025,MATCH(UPPER($AK$10), {"JAN","FEB","MAR","APR","MAY","JUN","JUL","AUG","SEP","OCT","NOV","DEC"}, 0),(DAY($D26))),INDIRECT(_xlfn.CONCAT("'Order Tracker'!Q12:R",Data!$AM$3)))=0,"- -",SUMIF(INDIRECT(_xlfn.CONCAT("'Order Tracker'!E12:F",Data!$AM$3)),DATE(2025,MATCH(UPPER($AK$10), {"JAN","FEB","MAR","APR","MAY","JUN","JUL","AUG","SEP","OCT","NOV","DEC"}, 0),(DAY($D26))),INDIRECT(_xlfn.CONCAT("'Order Tracker'!Q12:R",Data!$AM$3))))</f>
        <v>- -</v>
      </c>
      <c r="AL26" s="160" t="str">
        <f ca="1">IF(SUMIF(INDIRECT(_xlfn.CONCAT("'Order Tracker'!E12:F",Data!$AM$3)),DATE(2025,MATCH(UPPER($AK$10), {"JAN","FEB","MAR","APR","MAY","JUN","JUL","AUG","SEP","OCT","NOV","DEC"}, 0),(DAY($D26))),INDIRECT(_xlfn.CONCAT("'Order Tracker'!S12:T",Data!$AM$3)))=0,"- -",SUMIF(INDIRECT(_xlfn.CONCAT("'Order Tracker'!E12:F",Data!$AM$3)),DATE(2025,MATCH(UPPER($AK$10), {"JAN","FEB","MAR","APR","MAY","JUN","JUL","AUG","SEP","OCT","NOV","DEC"}, 0),(DAY($D26))),INDIRECT(_xlfn.CONCAT("'Order Tracker'!S12:T",Data!$AM$3))))</f>
        <v>- -</v>
      </c>
      <c r="AM26" s="156">
        <f t="shared" ca="1" si="8"/>
        <v>0</v>
      </c>
      <c r="AN26" s="10"/>
      <c r="AO26" s="160" t="str">
        <f ca="1">IF(SUMIF(INDIRECT(_xlfn.CONCAT("'Order Tracker'!E12:F",Data!$AM$3)),DATE(2025,MATCH(UPPER($AO$10), {"JAN","FEB","MAR","APR","MAY","JUN","JUL","AUG","SEP","OCT","NOV","DEC"}, 0),(DAY($D26))),INDIRECT(_xlfn.CONCAT("'Order Tracker'!Q12:R",Data!$AM$3)))=0,"- -",SUMIF(INDIRECT(_xlfn.CONCAT("'Order Tracker'!E12:F",Data!$AM$3)),DATE(2025,MATCH(UPPER($AO$10), {"JAN","FEB","MAR","APR","MAY","JUN","JUL","AUG","SEP","OCT","NOV","DEC"}, 0),(DAY($D26))),INDIRECT(_xlfn.CONCAT("'Order Tracker'!Q12:R",Data!$AM$3))))</f>
        <v>- -</v>
      </c>
      <c r="AP26" s="160" t="str">
        <f ca="1">IF(SUMIF(INDIRECT(_xlfn.CONCAT("'Order Tracker'!E12:F",Data!$AM$3)),DATE(2025,MATCH(UPPER($AO$10), {"JAN","FEB","MAR","APR","MAY","JUN","JUL","AUG","SEP","OCT","NOV","DEC"}, 0),(DAY($D26))),INDIRECT(_xlfn.CONCAT("'Order Tracker'!S12:T",Data!$AM$3)))=0,"- -",SUMIF(INDIRECT(_xlfn.CONCAT("'Order Tracker'!E12:F",Data!$AM$3)),DATE(2025,MATCH(UPPER($AO$10), {"JAN","FEB","MAR","APR","MAY","JUN","JUL","AUG","SEP","OCT","NOV","DEC"}, 0),(DAY($D26))),INDIRECT(_xlfn.CONCAT("'Order Tracker'!S12:T",Data!$AM$3))))</f>
        <v>- -</v>
      </c>
      <c r="AQ26" s="156">
        <f t="shared" ca="1" si="9"/>
        <v>0</v>
      </c>
      <c r="AR26" s="10"/>
      <c r="AS26" s="160" t="str">
        <f ca="1">IF(SUMIF(INDIRECT(_xlfn.CONCAT("'Order Tracker'!E12:F",Data!$AM$3)),DATE(2025,MATCH(UPPER($AS$10), {"JAN","FEB","MAR","APR","MAY","JUN","JUL","AUG","SEP","OCT","NOV","DEC"}, 0),(DAY($D26))),INDIRECT(_xlfn.CONCAT("'Order Tracker'!Q12:R",Data!$AM$3)))=0,"- -",SUMIF(INDIRECT(_xlfn.CONCAT("'Order Tracker'!E12:F",Data!$AM$3)),DATE(2025,MATCH(UPPER($AS$10), {"JAN","FEB","MAR","APR","MAY","JUN","JUL","AUG","SEP","OCT","NOV","DEC"}, 0),(DAY($D26))),INDIRECT(_xlfn.CONCAT("'Order Tracker'!Q12:R",Data!$AM$3))))</f>
        <v>- -</v>
      </c>
      <c r="AT26" s="160" t="str">
        <f ca="1">IF(SUMIF(INDIRECT(_xlfn.CONCAT("'Order Tracker'!E12:F",Data!$AM$3)),DATE(2025,MATCH(UPPER($AS$10), {"JAN","FEB","MAR","APR","MAY","JUN","JUL","AUG","SEP","OCT","NOV","DEC"}, 0),(DAY($D26))),INDIRECT(_xlfn.CONCAT("'Order Tracker'!S12:T",Data!$AM$3)))=0,"- -",SUMIF(INDIRECT(_xlfn.CONCAT("'Order Tracker'!E12:F",Data!$AM$3)),DATE(2025,MATCH(UPPER($AS$10), {"JAN","FEB","MAR","APR","MAY","JUN","JUL","AUG","SEP","OCT","NOV","DEC"}, 0),(DAY($D26))),INDIRECT(_xlfn.CONCAT("'Order Tracker'!S12:T",Data!$AM$3))))</f>
        <v>- -</v>
      </c>
      <c r="AU26" s="156">
        <f t="shared" ca="1" si="10"/>
        <v>0</v>
      </c>
      <c r="AV26" s="7"/>
      <c r="AW26" s="160" t="str">
        <f ca="1">IF(SUMIF(INDIRECT(_xlfn.CONCAT("'Order Tracker'!E12:F",Data!$AM$3)),DATE(2025,MATCH(UPPER($AW$10), {"JAN","FEB","MAR","APR","MAY","JUN","JUL","AUG","SEP","OCT","NOV","DEC"}, 0),(DAY($D26))),INDIRECT(_xlfn.CONCAT("'Order Tracker'!Q12:R",Data!$AM$3)))=0,"- -",SUMIF(INDIRECT(_xlfn.CONCAT("'Order Tracker'!E12:F",Data!$AM$3)),DATE(2025,MATCH(UPPER($AW$10), {"JAN","FEB","MAR","APR","MAY","JUN","JUL","AUG","SEP","OCT","NOV","DEC"}, 0),(DAY($D26))),INDIRECT(_xlfn.CONCAT("'Order Tracker'!Q12:R",Data!$AM$3))))</f>
        <v>- -</v>
      </c>
      <c r="AX26" s="160" t="str">
        <f ca="1">IF(SUMIF(INDIRECT(_xlfn.CONCAT("'Order Tracker'!E12:F",Data!$AM$3)),DATE(2025,MATCH(UPPER($AW$10), {"JAN","FEB","MAR","APR","MAY","JUN","JUL","AUG","SEP","OCT","NOV","DEC"}, 0),(DAY($D26))),INDIRECT(_xlfn.CONCAT("'Order Tracker'!S12:T",Data!$AM$3)))=0,"- -",SUMIF(INDIRECT(_xlfn.CONCAT("'Order Tracker'!E12:F",Data!$AM$3)),DATE(2025,MATCH(UPPER($AW$10), {"JAN","FEB","MAR","APR","MAY","JUN","JUL","AUG","SEP","OCT","NOV","DEC"}, 0),(DAY($D26))),INDIRECT(_xlfn.CONCAT("'Order Tracker'!S12:T",Data!$AM$3))))</f>
        <v>- -</v>
      </c>
      <c r="AY26" s="156">
        <f t="shared" ca="1" si="11"/>
        <v>0</v>
      </c>
      <c r="AZ26" s="109"/>
    </row>
    <row r="27" spans="4:52" ht="18" hidden="1" x14ac:dyDescent="0.2">
      <c r="D27" s="151">
        <v>14</v>
      </c>
      <c r="E27" s="160" t="str">
        <f ca="1">IF(SUMIF(INDIRECT(_xlfn.CONCAT("'Order Tracker'!E12:F",Data!$AM$3)),DATE(2025,MATCH(UPPER($E$10), {"JAN","FEB","MAR","APR","MAY","JUN","JUL","AUG","SEP","OCT","NOV","DEC"}, 0),(DAY($D27))),INDIRECT(_xlfn.CONCAT("'Order Tracker'!Q12:R",Data!$AM$3)))=0,"- -",SUMIF(INDIRECT(_xlfn.CONCAT("'Order Tracker'!E12:F",Data!$AM$3)),DATE(2025,MATCH(UPPER($E$10), {"JAN","FEB","MAR","APR","MAY","JUN","JUL","AUG","SEP","OCT","NOV","DEC"}, 0),(DAY($D27))),INDIRECT(_xlfn.CONCAT("'Order Tracker'!Q12:R",Data!$AM$3))))</f>
        <v>- -</v>
      </c>
      <c r="F27" s="160" t="str">
        <f ca="1">IF(SUMIF(INDIRECT(_xlfn.CONCAT("'Order Tracker'!E12:F",Data!$AM$3)),DATE(2025,MATCH(UPPER($E$10), {"JAN","FEB","MAR","APR","MAY","JUN","JUL","AUG","SEP","OCT","NOV","DEC"}, 0),(DAY($D27))),INDIRECT(_xlfn.CONCAT("'Order Tracker'!S12:T",Data!$AM$3)))=0,"- -",SUMIF(INDIRECT(_xlfn.CONCAT("'Order Tracker'!E12:F",Data!$AM$3)),DATE(2025,MATCH(UPPER($E$10), {"JAN","FEB","MAR","APR","MAY","JUN","JUL","AUG","SEP","OCT","NOV","DEC"}, 0),(DAY($D27))),INDIRECT(_xlfn.CONCAT("'Order Tracker'!S12:T",Data!$AM$3))))</f>
        <v>- -</v>
      </c>
      <c r="G27" s="156">
        <f t="shared" ca="1" si="0"/>
        <v>0</v>
      </c>
      <c r="H27" s="10"/>
      <c r="I27" s="160" t="str">
        <f ca="1">IF(SUMIF(INDIRECT(_xlfn.CONCAT("'Order Tracker'!E12:F",Data!$AM$3)),DATE(2025,MATCH(UPPER($I$10), {"JAN","FEB","MAR","APR","MAY","JUN","JUL","AUG","SEP","OCT","NOV","DEC"}, 0),(DAY($D27))),INDIRECT(_xlfn.CONCAT("'Order Tracker'!Q12:R",Data!$AM$3)))=0,"- -",SUMIF(INDIRECT(_xlfn.CONCAT("'Order Tracker'!E12:F",Data!$AM$3)),DATE(2025,MATCH(UPPER($I$10), {"JAN","FEB","MAR","APR","MAY","JUN","JUL","AUG","SEP","OCT","NOV","DEC"}, 0),(DAY($D27))),INDIRECT(_xlfn.CONCAT("'Order Tracker'!Q12:R",Data!$AM$3))))</f>
        <v>- -</v>
      </c>
      <c r="J27" s="160" t="str">
        <f ca="1">IF(SUMIF(INDIRECT(_xlfn.CONCAT("'Order Tracker'!E12:F",Data!$AM$3)),DATE(2025,MATCH(UPPER($I$10), {"JAN","FEB","MAR","APR","MAY","JUN","JUL","AUG","SEP","OCT","NOV","DEC"}, 0),(DAY($D27))),INDIRECT(_xlfn.CONCAT("'Order Tracker'!S12:T",Data!$AM$3)))=0,"- -",SUMIF(INDIRECT(_xlfn.CONCAT("'Order Tracker'!E12:F",Data!$AM$3)),DATE(2025,MATCH(UPPER($I$10), {"JAN","FEB","MAR","APR","MAY","JUN","JUL","AUG","SEP","OCT","NOV","DEC"}, 0),(DAY($D27))),INDIRECT(_xlfn.CONCAT("'Order Tracker'!S12:T",Data!$AM$3))))</f>
        <v>- -</v>
      </c>
      <c r="K27" s="156">
        <f t="shared" ca="1" si="1"/>
        <v>0</v>
      </c>
      <c r="L27" s="10"/>
      <c r="M27" s="160" t="str">
        <f ca="1">IF(SUMIF(INDIRECT(_xlfn.CONCAT("'Order Tracker'!E12:F",Data!$AM$3)),DATE(2025,MATCH(UPPER($M$10), {"JAN","FEB","MAR","APR","MAY","JUN","JUL","AUG","SEP","OCT","NOV","DEC"}, 0),(DAY($D27))),INDIRECT(_xlfn.CONCAT("'Order Tracker'!Q12:R",Data!$AM$3)))=0,"- -",SUMIF(INDIRECT(_xlfn.CONCAT("'Order Tracker'!E12:F",Data!$AM$3)),DATE(2025,MATCH(UPPER($M$10), {"JAN","FEB","MAR","APR","MAY","JUN","JUL","AUG","SEP","OCT","NOV","DEC"}, 0),(DAY($D27))),INDIRECT(_xlfn.CONCAT("'Order Tracker'!Q12:R",Data!$AM$3))))</f>
        <v>- -</v>
      </c>
      <c r="N27" s="160" t="str">
        <f ca="1">IF(SUMIF(INDIRECT(_xlfn.CONCAT("'Order Tracker'!E12:F",Data!$AM$3)),DATE(2025,MATCH(UPPER($M$10), {"JAN","FEB","MAR","APR","MAY","JUN","JUL","AUG","SEP","OCT","NOV","DEC"}, 0),(DAY($D27))),INDIRECT(_xlfn.CONCAT("'Order Tracker'!S12:T",Data!$AM$3)))=0,"- -",SUMIF(INDIRECT(_xlfn.CONCAT("'Order Tracker'!E12:F",Data!$AM$3)),DATE(2025,MATCH(UPPER($M$10), {"JAN","FEB","MAR","APR","MAY","JUN","JUL","AUG","SEP","OCT","NOV","DEC"}, 0),(DAY($D27))),INDIRECT(_xlfn.CONCAT("'Order Tracker'!S12:T",Data!$AM$3))))</f>
        <v>- -</v>
      </c>
      <c r="O27" s="156">
        <f t="shared" ca="1" si="2"/>
        <v>0</v>
      </c>
      <c r="P27" s="10"/>
      <c r="Q27" s="160" t="str">
        <f ca="1">IF(SUMIF(INDIRECT(_xlfn.CONCAT("'Order Tracker'!E12:F",Data!$AM$3)),DATE(2025,MATCH(UPPER($Q$10), {"JAN","FEB","MAR","APR","MAY","JUN","JUL","AUG","SEP","OCT","NOV","DEC"}, 0),(DAY($D27))),INDIRECT(_xlfn.CONCAT("'Order Tracker'!Q12:R",Data!$AM$3)))=0,"- -",SUMIF(INDIRECT(_xlfn.CONCAT("'Order Tracker'!E12:F",Data!$AM$3)),DATE(2025,MATCH(UPPER($Q$10), {"JAN","FEB","MAR","APR","MAY","JUN","JUL","AUG","SEP","OCT","NOV","DEC"}, 0),(DAY($D27))),INDIRECT(_xlfn.CONCAT("'Order Tracker'!Q12:R",Data!$AM$3))))</f>
        <v>- -</v>
      </c>
      <c r="R27" s="160" t="str">
        <f ca="1">IF(SUMIF(INDIRECT(_xlfn.CONCAT("'Order Tracker'!E12:F",Data!$AM$3)),DATE(2025,MATCH(UPPER($Q$10), {"JAN","FEB","MAR","APR","MAY","JUN","JUL","AUG","SEP","OCT","NOV","DEC"}, 0),(DAY($D27))),INDIRECT(_xlfn.CONCAT("'Order Tracker'!S12:T",Data!$AM$3)))=0,"- -",SUMIF(INDIRECT(_xlfn.CONCAT("'Order Tracker'!E12:F",Data!$AM$3)),DATE(2025,MATCH(UPPER($Q$10), {"JAN","FEB","MAR","APR","MAY","JUN","JUL","AUG","SEP","OCT","NOV","DEC"}, 0),(DAY($D27))),INDIRECT(_xlfn.CONCAT("'Order Tracker'!S12:T",Data!$AM$3))))</f>
        <v>- -</v>
      </c>
      <c r="S27" s="156">
        <f t="shared" ca="1" si="3"/>
        <v>0</v>
      </c>
      <c r="T27" s="10"/>
      <c r="U27" s="160" t="str">
        <f ca="1">IF(SUMIF(INDIRECT(_xlfn.CONCAT("'Order Tracker'!E12:F",Data!$AM$3)),DATE(2025,MATCH(UPPER($U$10), {"JAN","FEB","MAR","APR","MAY","JUN","JUL","AUG","SEP","OCT","NOV","DEC"}, 0),(DAY($D27))),INDIRECT(_xlfn.CONCAT("'Order Tracker'!Q12:R",Data!$AM$3)))=0,"- -",SUMIF(INDIRECT(_xlfn.CONCAT("'Order Tracker'!E12:F",Data!$AM$3)),DATE(2025,MATCH(UPPER($U$10), {"JAN","FEB","MAR","APR","MAY","JUN","JUL","AUG","SEP","OCT","NOV","DEC"}, 0),(DAY($D27))),INDIRECT(_xlfn.CONCAT("'Order Tracker'!Q12:R",Data!$AM$3))))</f>
        <v>- -</v>
      </c>
      <c r="V27" s="160" t="str">
        <f ca="1">IF(SUMIF(INDIRECT(_xlfn.CONCAT("'Order Tracker'!E12:F",Data!$AM$3)),DATE(2025,MATCH(UPPER($U$10), {"JAN","FEB","MAR","APR","MAY","JUN","JUL","AUG","SEP","OCT","NOV","DEC"}, 0),(DAY($D27))),INDIRECT(_xlfn.CONCAT("'Order Tracker'!S12:T",Data!$AM$3)))=0,"- -",SUMIF(INDIRECT(_xlfn.CONCAT("'Order Tracker'!E12:F",Data!$AM$3)),DATE(2025,MATCH(UPPER($U$10), {"JAN","FEB","MAR","APR","MAY","JUN","JUL","AUG","SEP","OCT","NOV","DEC"}, 0),(DAY($D27))),INDIRECT(_xlfn.CONCAT("'Order Tracker'!S12:T",Data!$AM$3))))</f>
        <v>- -</v>
      </c>
      <c r="W27" s="156">
        <f t="shared" ca="1" si="4"/>
        <v>0</v>
      </c>
      <c r="X27" s="10"/>
      <c r="Y27" s="160" t="str">
        <f ca="1">IF(SUMIF(INDIRECT(_xlfn.CONCAT("'Order Tracker'!E12:F",Data!$AM$3)),DATE(2025,MATCH(UPPER($Y$10), {"JAN","FEB","MAR","APR","MAY","JUN","JUL","AUG","SEP","OCT","NOV","DEC"}, 0),(DAY($D27))),INDIRECT(_xlfn.CONCAT("'Order Tracker'!Q12:R",Data!$AM$3)))=0,"- -",SUMIF(INDIRECT(_xlfn.CONCAT("'Order Tracker'!E12:F",Data!$AM$3)),DATE(2025,MATCH(UPPER($Y$10), {"JAN","FEB","MAR","APR","MAY","JUN","JUL","AUG","SEP","OCT","NOV","DEC"}, 0),(DAY($D27))),INDIRECT(_xlfn.CONCAT("'Order Tracker'!Q12:R",Data!$AM$3))))</f>
        <v>- -</v>
      </c>
      <c r="Z27" s="160" t="str">
        <f ca="1">IF(SUMIF(INDIRECT(_xlfn.CONCAT("'Order Tracker'!E12:F",Data!$AM$3)),DATE(2025,MATCH(UPPER($Y$10), {"JAN","FEB","MAR","APR","MAY","JUN","JUL","AUG","SEP","OCT","NOV","DEC"}, 0),(DAY($D27))),INDIRECT(_xlfn.CONCAT("'Order Tracker'!S12:T",Data!$AM$3)))=0,"- -",SUMIF(INDIRECT(_xlfn.CONCAT("'Order Tracker'!E12:F",Data!$AM$3)),DATE(2025,MATCH(UPPER($Y$10), {"JAN","FEB","MAR","APR","MAY","JUN","JUL","AUG","SEP","OCT","NOV","DEC"}, 0),(DAY($D27))),INDIRECT(_xlfn.CONCAT("'Order Tracker'!S12:T",Data!$AM$3))))</f>
        <v>- -</v>
      </c>
      <c r="AA27" s="156">
        <f t="shared" ca="1" si="5"/>
        <v>0</v>
      </c>
      <c r="AB27" s="10"/>
      <c r="AC27" s="160" t="str">
        <f ca="1">IF(SUMIF(INDIRECT(_xlfn.CONCAT("'Order Tracker'!E12:F",Data!$AM$3)),DATE(2025,MATCH(UPPER($AC$10), {"JAN","FEB","MAR","APR","MAY","JUN","JUL","AUG","SEP","OCT","NOV","DEC"}, 0),(DAY($D27))),INDIRECT(_xlfn.CONCAT("'Order Tracker'!Q12:R",Data!$AM$3)))=0,"- -",SUMIF(INDIRECT(_xlfn.CONCAT("'Order Tracker'!E12:F",Data!$AM$3)),DATE(2025,MATCH(UPPER($AC$10), {"JAN","FEB","MAR","APR","MAY","JUN","JUL","AUG","SEP","OCT","NOV","DEC"}, 0),(DAY($D27))),INDIRECT(_xlfn.CONCAT("'Order Tracker'!Q12:R",Data!$AM$3))))</f>
        <v>- -</v>
      </c>
      <c r="AD27" s="160" t="str">
        <f ca="1">IF(SUMIF(INDIRECT(_xlfn.CONCAT("'Order Tracker'!E12:F",Data!$AM$3)),DATE(2025,MATCH(UPPER($AC$10), {"JAN","FEB","MAR","APR","MAY","JUN","JUL","AUG","SEP","OCT","NOV","DEC"}, 0),(DAY($D27))),INDIRECT(_xlfn.CONCAT("'Order Tracker'!S12:T",Data!$AM$3)))=0,"- -",SUMIF(INDIRECT(_xlfn.CONCAT("'Order Tracker'!E12:F",Data!$AM$3)),DATE(2025,MATCH(UPPER($AC$10), {"JAN","FEB","MAR","APR","MAY","JUN","JUL","AUG","SEP","OCT","NOV","DEC"}, 0),(DAY($D27))),INDIRECT(_xlfn.CONCAT("'Order Tracker'!S12:T",Data!$AM$3))))</f>
        <v>- -</v>
      </c>
      <c r="AE27" s="156">
        <f t="shared" ca="1" si="6"/>
        <v>0</v>
      </c>
      <c r="AF27" s="10"/>
      <c r="AG27" s="160" t="str">
        <f ca="1">IF(SUMIF(INDIRECT(_xlfn.CONCAT("'Order Tracker'!E12:F",Data!$AM$3)),DATE(2025,MATCH(UPPER($AG$10), {"JAN","FEB","MAR","APR","MAY","JUN","JUL","AUG","SEP","OCT","NOV","DEC"}, 0),(DAY($D27))),INDIRECT(_xlfn.CONCAT("'Order Tracker'!Q12:R",Data!$AM$3)))=0,"- -",SUMIF(INDIRECT(_xlfn.CONCAT("'Order Tracker'!E12:F",Data!$AM$3)),DATE(2025,MATCH(UPPER($AG$10), {"JAN","FEB","MAR","APR","MAY","JUN","JUL","AUG","SEP","OCT","NOV","DEC"}, 0),(DAY($D27))),INDIRECT(_xlfn.CONCAT("'Order Tracker'!Q12:R",Data!$AM$3))))</f>
        <v>- -</v>
      </c>
      <c r="AH27" s="160" t="str">
        <f ca="1">IF(SUMIF(INDIRECT(_xlfn.CONCAT("'Order Tracker'!E12:F",Data!$AM$3)),DATE(2025,MATCH(UPPER($AG$10), {"JAN","FEB","MAR","APR","MAY","JUN","JUL","AUG","SEP","OCT","NOV","DEC"}, 0),(DAY($D27))),INDIRECT(_xlfn.CONCAT("'Order Tracker'!S12:T",Data!$AM$3)))=0,"- -",SUMIF(INDIRECT(_xlfn.CONCAT("'Order Tracker'!E12:F",Data!$AM$3)),DATE(2025,MATCH(UPPER($AG$10), {"JAN","FEB","MAR","APR","MAY","JUN","JUL","AUG","SEP","OCT","NOV","DEC"}, 0),(DAY($D27))),INDIRECT(_xlfn.CONCAT("'Order Tracker'!S12:T",Data!$AM$3))))</f>
        <v>- -</v>
      </c>
      <c r="AI27" s="156">
        <f t="shared" ca="1" si="7"/>
        <v>0</v>
      </c>
      <c r="AJ27" s="10"/>
      <c r="AK27" s="160" t="str">
        <f ca="1">IF(SUMIF(INDIRECT(_xlfn.CONCAT("'Order Tracker'!E12:F",Data!$AM$3)),DATE(2025,MATCH(UPPER($AK$10), {"JAN","FEB","MAR","APR","MAY","JUN","JUL","AUG","SEP","OCT","NOV","DEC"}, 0),(DAY($D27))),INDIRECT(_xlfn.CONCAT("'Order Tracker'!Q12:R",Data!$AM$3)))=0,"- -",SUMIF(INDIRECT(_xlfn.CONCAT("'Order Tracker'!E12:F",Data!$AM$3)),DATE(2025,MATCH(UPPER($AK$10), {"JAN","FEB","MAR","APR","MAY","JUN","JUL","AUG","SEP","OCT","NOV","DEC"}, 0),(DAY($D27))),INDIRECT(_xlfn.CONCAT("'Order Tracker'!Q12:R",Data!$AM$3))))</f>
        <v>- -</v>
      </c>
      <c r="AL27" s="160" t="str">
        <f ca="1">IF(SUMIF(INDIRECT(_xlfn.CONCAT("'Order Tracker'!E12:F",Data!$AM$3)),DATE(2025,MATCH(UPPER($AK$10), {"JAN","FEB","MAR","APR","MAY","JUN","JUL","AUG","SEP","OCT","NOV","DEC"}, 0),(DAY($D27))),INDIRECT(_xlfn.CONCAT("'Order Tracker'!S12:T",Data!$AM$3)))=0,"- -",SUMIF(INDIRECT(_xlfn.CONCAT("'Order Tracker'!E12:F",Data!$AM$3)),DATE(2025,MATCH(UPPER($AK$10), {"JAN","FEB","MAR","APR","MAY","JUN","JUL","AUG","SEP","OCT","NOV","DEC"}, 0),(DAY($D27))),INDIRECT(_xlfn.CONCAT("'Order Tracker'!S12:T",Data!$AM$3))))</f>
        <v>- -</v>
      </c>
      <c r="AM27" s="156">
        <f t="shared" ca="1" si="8"/>
        <v>0</v>
      </c>
      <c r="AN27" s="10"/>
      <c r="AO27" s="160" t="str">
        <f ca="1">IF(SUMIF(INDIRECT(_xlfn.CONCAT("'Order Tracker'!E12:F",Data!$AM$3)),DATE(2025,MATCH(UPPER($AO$10), {"JAN","FEB","MAR","APR","MAY","JUN","JUL","AUG","SEP","OCT","NOV","DEC"}, 0),(DAY($D27))),INDIRECT(_xlfn.CONCAT("'Order Tracker'!Q12:R",Data!$AM$3)))=0,"- -",SUMIF(INDIRECT(_xlfn.CONCAT("'Order Tracker'!E12:F",Data!$AM$3)),DATE(2025,MATCH(UPPER($AO$10), {"JAN","FEB","MAR","APR","MAY","JUN","JUL","AUG","SEP","OCT","NOV","DEC"}, 0),(DAY($D27))),INDIRECT(_xlfn.CONCAT("'Order Tracker'!Q12:R",Data!$AM$3))))</f>
        <v>- -</v>
      </c>
      <c r="AP27" s="160" t="str">
        <f ca="1">IF(SUMIF(INDIRECT(_xlfn.CONCAT("'Order Tracker'!E12:F",Data!$AM$3)),DATE(2025,MATCH(UPPER($AO$10), {"JAN","FEB","MAR","APR","MAY","JUN","JUL","AUG","SEP","OCT","NOV","DEC"}, 0),(DAY($D27))),INDIRECT(_xlfn.CONCAT("'Order Tracker'!S12:T",Data!$AM$3)))=0,"- -",SUMIF(INDIRECT(_xlfn.CONCAT("'Order Tracker'!E12:F",Data!$AM$3)),DATE(2025,MATCH(UPPER($AO$10), {"JAN","FEB","MAR","APR","MAY","JUN","JUL","AUG","SEP","OCT","NOV","DEC"}, 0),(DAY($D27))),INDIRECT(_xlfn.CONCAT("'Order Tracker'!S12:T",Data!$AM$3))))</f>
        <v>- -</v>
      </c>
      <c r="AQ27" s="156">
        <f t="shared" ca="1" si="9"/>
        <v>0</v>
      </c>
      <c r="AR27" s="10"/>
      <c r="AS27" s="160" t="str">
        <f ca="1">IF(SUMIF(INDIRECT(_xlfn.CONCAT("'Order Tracker'!E12:F",Data!$AM$3)),DATE(2025,MATCH(UPPER($AS$10), {"JAN","FEB","MAR","APR","MAY","JUN","JUL","AUG","SEP","OCT","NOV","DEC"}, 0),(DAY($D27))),INDIRECT(_xlfn.CONCAT("'Order Tracker'!Q12:R",Data!$AM$3)))=0,"- -",SUMIF(INDIRECT(_xlfn.CONCAT("'Order Tracker'!E12:F",Data!$AM$3)),DATE(2025,MATCH(UPPER($AS$10), {"JAN","FEB","MAR","APR","MAY","JUN","JUL","AUG","SEP","OCT","NOV","DEC"}, 0),(DAY($D27))),INDIRECT(_xlfn.CONCAT("'Order Tracker'!Q12:R",Data!$AM$3))))</f>
        <v>- -</v>
      </c>
      <c r="AT27" s="160" t="str">
        <f ca="1">IF(SUMIF(INDIRECT(_xlfn.CONCAT("'Order Tracker'!E12:F",Data!$AM$3)),DATE(2025,MATCH(UPPER($AS$10), {"JAN","FEB","MAR","APR","MAY","JUN","JUL","AUG","SEP","OCT","NOV","DEC"}, 0),(DAY($D27))),INDIRECT(_xlfn.CONCAT("'Order Tracker'!S12:T",Data!$AM$3)))=0,"- -",SUMIF(INDIRECT(_xlfn.CONCAT("'Order Tracker'!E12:F",Data!$AM$3)),DATE(2025,MATCH(UPPER($AS$10), {"JAN","FEB","MAR","APR","MAY","JUN","JUL","AUG","SEP","OCT","NOV","DEC"}, 0),(DAY($D27))),INDIRECT(_xlfn.CONCAT("'Order Tracker'!S12:T",Data!$AM$3))))</f>
        <v>- -</v>
      </c>
      <c r="AU27" s="156">
        <f t="shared" ca="1" si="10"/>
        <v>0</v>
      </c>
      <c r="AV27" s="7"/>
      <c r="AW27" s="160" t="str">
        <f ca="1">IF(SUMIF(INDIRECT(_xlfn.CONCAT("'Order Tracker'!E12:F",Data!$AM$3)),DATE(2025,MATCH(UPPER($AW$10), {"JAN","FEB","MAR","APR","MAY","JUN","JUL","AUG","SEP","OCT","NOV","DEC"}, 0),(DAY($D27))),INDIRECT(_xlfn.CONCAT("'Order Tracker'!Q12:R",Data!$AM$3)))=0,"- -",SUMIF(INDIRECT(_xlfn.CONCAT("'Order Tracker'!E12:F",Data!$AM$3)),DATE(2025,MATCH(UPPER($AW$10), {"JAN","FEB","MAR","APR","MAY","JUN","JUL","AUG","SEP","OCT","NOV","DEC"}, 0),(DAY($D27))),INDIRECT(_xlfn.CONCAT("'Order Tracker'!Q12:R",Data!$AM$3))))</f>
        <v>- -</v>
      </c>
      <c r="AX27" s="160" t="str">
        <f ca="1">IF(SUMIF(INDIRECT(_xlfn.CONCAT("'Order Tracker'!E12:F",Data!$AM$3)),DATE(2025,MATCH(UPPER($AW$10), {"JAN","FEB","MAR","APR","MAY","JUN","JUL","AUG","SEP","OCT","NOV","DEC"}, 0),(DAY($D27))),INDIRECT(_xlfn.CONCAT("'Order Tracker'!S12:T",Data!$AM$3)))=0,"- -",SUMIF(INDIRECT(_xlfn.CONCAT("'Order Tracker'!E12:F",Data!$AM$3)),DATE(2025,MATCH(UPPER($AW$10), {"JAN","FEB","MAR","APR","MAY","JUN","JUL","AUG","SEP","OCT","NOV","DEC"}, 0),(DAY($D27))),INDIRECT(_xlfn.CONCAT("'Order Tracker'!S12:T",Data!$AM$3))))</f>
        <v>- -</v>
      </c>
      <c r="AY27" s="156">
        <f t="shared" ca="1" si="11"/>
        <v>0</v>
      </c>
      <c r="AZ27" s="109"/>
    </row>
    <row r="28" spans="4:52" ht="18" hidden="1" x14ac:dyDescent="0.2">
      <c r="D28" s="151">
        <v>15</v>
      </c>
      <c r="E28" s="160" t="str">
        <f ca="1">IF(SUMIF(INDIRECT(_xlfn.CONCAT("'Order Tracker'!E12:F",Data!$AM$3)),DATE(2025,MATCH(UPPER($E$10), {"JAN","FEB","MAR","APR","MAY","JUN","JUL","AUG","SEP","OCT","NOV","DEC"}, 0),(DAY($D28))),INDIRECT(_xlfn.CONCAT("'Order Tracker'!Q12:R",Data!$AM$3)))=0,"- -",SUMIF(INDIRECT(_xlfn.CONCAT("'Order Tracker'!E12:F",Data!$AM$3)),DATE(2025,MATCH(UPPER($E$10), {"JAN","FEB","MAR","APR","MAY","JUN","JUL","AUG","SEP","OCT","NOV","DEC"}, 0),(DAY($D28))),INDIRECT(_xlfn.CONCAT("'Order Tracker'!Q12:R",Data!$AM$3))))</f>
        <v>- -</v>
      </c>
      <c r="F28" s="160" t="str">
        <f ca="1">IF(SUMIF(INDIRECT(_xlfn.CONCAT("'Order Tracker'!E12:F",Data!$AM$3)),DATE(2025,MATCH(UPPER($E$10), {"JAN","FEB","MAR","APR","MAY","JUN","JUL","AUG","SEP","OCT","NOV","DEC"}, 0),(DAY($D28))),INDIRECT(_xlfn.CONCAT("'Order Tracker'!S12:T",Data!$AM$3)))=0,"- -",SUMIF(INDIRECT(_xlfn.CONCAT("'Order Tracker'!E12:F",Data!$AM$3)),DATE(2025,MATCH(UPPER($E$10), {"JAN","FEB","MAR","APR","MAY","JUN","JUL","AUG","SEP","OCT","NOV","DEC"}, 0),(DAY($D28))),INDIRECT(_xlfn.CONCAT("'Order Tracker'!S12:T",Data!$AM$3))))</f>
        <v>- -</v>
      </c>
      <c r="G28" s="156">
        <f t="shared" ca="1" si="0"/>
        <v>0</v>
      </c>
      <c r="H28" s="10"/>
      <c r="I28" s="160" t="str">
        <f ca="1">IF(SUMIF(INDIRECT(_xlfn.CONCAT("'Order Tracker'!E12:F",Data!$AM$3)),DATE(2025,MATCH(UPPER($I$10), {"JAN","FEB","MAR","APR","MAY","JUN","JUL","AUG","SEP","OCT","NOV","DEC"}, 0),(DAY($D28))),INDIRECT(_xlfn.CONCAT("'Order Tracker'!Q12:R",Data!$AM$3)))=0,"- -",SUMIF(INDIRECT(_xlfn.CONCAT("'Order Tracker'!E12:F",Data!$AM$3)),DATE(2025,MATCH(UPPER($I$10), {"JAN","FEB","MAR","APR","MAY","JUN","JUL","AUG","SEP","OCT","NOV","DEC"}, 0),(DAY($D28))),INDIRECT(_xlfn.CONCAT("'Order Tracker'!Q12:R",Data!$AM$3))))</f>
        <v>- -</v>
      </c>
      <c r="J28" s="160" t="str">
        <f ca="1">IF(SUMIF(INDIRECT(_xlfn.CONCAT("'Order Tracker'!E12:F",Data!$AM$3)),DATE(2025,MATCH(UPPER($I$10), {"JAN","FEB","MAR","APR","MAY","JUN","JUL","AUG","SEP","OCT","NOV","DEC"}, 0),(DAY($D28))),INDIRECT(_xlfn.CONCAT("'Order Tracker'!S12:T",Data!$AM$3)))=0,"- -",SUMIF(INDIRECT(_xlfn.CONCAT("'Order Tracker'!E12:F",Data!$AM$3)),DATE(2025,MATCH(UPPER($I$10), {"JAN","FEB","MAR","APR","MAY","JUN","JUL","AUG","SEP","OCT","NOV","DEC"}, 0),(DAY($D28))),INDIRECT(_xlfn.CONCAT("'Order Tracker'!S12:T",Data!$AM$3))))</f>
        <v>- -</v>
      </c>
      <c r="K28" s="156">
        <f t="shared" ca="1" si="1"/>
        <v>0</v>
      </c>
      <c r="L28" s="10"/>
      <c r="M28" s="160" t="str">
        <f ca="1">IF(SUMIF(INDIRECT(_xlfn.CONCAT("'Order Tracker'!E12:F",Data!$AM$3)),DATE(2025,MATCH(UPPER($M$10), {"JAN","FEB","MAR","APR","MAY","JUN","JUL","AUG","SEP","OCT","NOV","DEC"}, 0),(DAY($D28))),INDIRECT(_xlfn.CONCAT("'Order Tracker'!Q12:R",Data!$AM$3)))=0,"- -",SUMIF(INDIRECT(_xlfn.CONCAT("'Order Tracker'!E12:F",Data!$AM$3)),DATE(2025,MATCH(UPPER($M$10), {"JAN","FEB","MAR","APR","MAY","JUN","JUL","AUG","SEP","OCT","NOV","DEC"}, 0),(DAY($D28))),INDIRECT(_xlfn.CONCAT("'Order Tracker'!Q12:R",Data!$AM$3))))</f>
        <v>- -</v>
      </c>
      <c r="N28" s="160" t="str">
        <f ca="1">IF(SUMIF(INDIRECT(_xlfn.CONCAT("'Order Tracker'!E12:F",Data!$AM$3)),DATE(2025,MATCH(UPPER($M$10), {"JAN","FEB","MAR","APR","MAY","JUN","JUL","AUG","SEP","OCT","NOV","DEC"}, 0),(DAY($D28))),INDIRECT(_xlfn.CONCAT("'Order Tracker'!S12:T",Data!$AM$3)))=0,"- -",SUMIF(INDIRECT(_xlfn.CONCAT("'Order Tracker'!E12:F",Data!$AM$3)),DATE(2025,MATCH(UPPER($M$10), {"JAN","FEB","MAR","APR","MAY","JUN","JUL","AUG","SEP","OCT","NOV","DEC"}, 0),(DAY($D28))),INDIRECT(_xlfn.CONCAT("'Order Tracker'!S12:T",Data!$AM$3))))</f>
        <v>- -</v>
      </c>
      <c r="O28" s="156">
        <f t="shared" ca="1" si="2"/>
        <v>0</v>
      </c>
      <c r="P28" s="10"/>
      <c r="Q28" s="160" t="str">
        <f ca="1">IF(SUMIF(INDIRECT(_xlfn.CONCAT("'Order Tracker'!E12:F",Data!$AM$3)),DATE(2025,MATCH(UPPER($Q$10), {"JAN","FEB","MAR","APR","MAY","JUN","JUL","AUG","SEP","OCT","NOV","DEC"}, 0),(DAY($D28))),INDIRECT(_xlfn.CONCAT("'Order Tracker'!Q12:R",Data!$AM$3)))=0,"- -",SUMIF(INDIRECT(_xlfn.CONCAT("'Order Tracker'!E12:F",Data!$AM$3)),DATE(2025,MATCH(UPPER($Q$10), {"JAN","FEB","MAR","APR","MAY","JUN","JUL","AUG","SEP","OCT","NOV","DEC"}, 0),(DAY($D28))),INDIRECT(_xlfn.CONCAT("'Order Tracker'!Q12:R",Data!$AM$3))))</f>
        <v>- -</v>
      </c>
      <c r="R28" s="160" t="str">
        <f ca="1">IF(SUMIF(INDIRECT(_xlfn.CONCAT("'Order Tracker'!E12:F",Data!$AM$3)),DATE(2025,MATCH(UPPER($Q$10), {"JAN","FEB","MAR","APR","MAY","JUN","JUL","AUG","SEP","OCT","NOV","DEC"}, 0),(DAY($D28))),INDIRECT(_xlfn.CONCAT("'Order Tracker'!S12:T",Data!$AM$3)))=0,"- -",SUMIF(INDIRECT(_xlfn.CONCAT("'Order Tracker'!E12:F",Data!$AM$3)),DATE(2025,MATCH(UPPER($Q$10), {"JAN","FEB","MAR","APR","MAY","JUN","JUL","AUG","SEP","OCT","NOV","DEC"}, 0),(DAY($D28))),INDIRECT(_xlfn.CONCAT("'Order Tracker'!S12:T",Data!$AM$3))))</f>
        <v>- -</v>
      </c>
      <c r="S28" s="156">
        <f t="shared" ca="1" si="3"/>
        <v>0</v>
      </c>
      <c r="T28" s="10"/>
      <c r="U28" s="160" t="str">
        <f ca="1">IF(SUMIF(INDIRECT(_xlfn.CONCAT("'Order Tracker'!E12:F",Data!$AM$3)),DATE(2025,MATCH(UPPER($U$10), {"JAN","FEB","MAR","APR","MAY","JUN","JUL","AUG","SEP","OCT","NOV","DEC"}, 0),(DAY($D28))),INDIRECT(_xlfn.CONCAT("'Order Tracker'!Q12:R",Data!$AM$3)))=0,"- -",SUMIF(INDIRECT(_xlfn.CONCAT("'Order Tracker'!E12:F",Data!$AM$3)),DATE(2025,MATCH(UPPER($U$10), {"JAN","FEB","MAR","APR","MAY","JUN","JUL","AUG","SEP","OCT","NOV","DEC"}, 0),(DAY($D28))),INDIRECT(_xlfn.CONCAT("'Order Tracker'!Q12:R",Data!$AM$3))))</f>
        <v>- -</v>
      </c>
      <c r="V28" s="160" t="str">
        <f ca="1">IF(SUMIF(INDIRECT(_xlfn.CONCAT("'Order Tracker'!E12:F",Data!$AM$3)),DATE(2025,MATCH(UPPER($U$10), {"JAN","FEB","MAR","APR","MAY","JUN","JUL","AUG","SEP","OCT","NOV","DEC"}, 0),(DAY($D28))),INDIRECT(_xlfn.CONCAT("'Order Tracker'!S12:T",Data!$AM$3)))=0,"- -",SUMIF(INDIRECT(_xlfn.CONCAT("'Order Tracker'!E12:F",Data!$AM$3)),DATE(2025,MATCH(UPPER($U$10), {"JAN","FEB","MAR","APR","MAY","JUN","JUL","AUG","SEP","OCT","NOV","DEC"}, 0),(DAY($D28))),INDIRECT(_xlfn.CONCAT("'Order Tracker'!S12:T",Data!$AM$3))))</f>
        <v>- -</v>
      </c>
      <c r="W28" s="156">
        <f t="shared" ca="1" si="4"/>
        <v>0</v>
      </c>
      <c r="X28" s="10"/>
      <c r="Y28" s="160" t="str">
        <f ca="1">IF(SUMIF(INDIRECT(_xlfn.CONCAT("'Order Tracker'!E12:F",Data!$AM$3)),DATE(2025,MATCH(UPPER($Y$10), {"JAN","FEB","MAR","APR","MAY","JUN","JUL","AUG","SEP","OCT","NOV","DEC"}, 0),(DAY($D28))),INDIRECT(_xlfn.CONCAT("'Order Tracker'!Q12:R",Data!$AM$3)))=0,"- -",SUMIF(INDIRECT(_xlfn.CONCAT("'Order Tracker'!E12:F",Data!$AM$3)),DATE(2025,MATCH(UPPER($Y$10), {"JAN","FEB","MAR","APR","MAY","JUN","JUL","AUG","SEP","OCT","NOV","DEC"}, 0),(DAY($D28))),INDIRECT(_xlfn.CONCAT("'Order Tracker'!Q12:R",Data!$AM$3))))</f>
        <v>- -</v>
      </c>
      <c r="Z28" s="160" t="str">
        <f ca="1">IF(SUMIF(INDIRECT(_xlfn.CONCAT("'Order Tracker'!E12:F",Data!$AM$3)),DATE(2025,MATCH(UPPER($Y$10), {"JAN","FEB","MAR","APR","MAY","JUN","JUL","AUG","SEP","OCT","NOV","DEC"}, 0),(DAY($D28))),INDIRECT(_xlfn.CONCAT("'Order Tracker'!S12:T",Data!$AM$3)))=0,"- -",SUMIF(INDIRECT(_xlfn.CONCAT("'Order Tracker'!E12:F",Data!$AM$3)),DATE(2025,MATCH(UPPER($Y$10), {"JAN","FEB","MAR","APR","MAY","JUN","JUL","AUG","SEP","OCT","NOV","DEC"}, 0),(DAY($D28))),INDIRECT(_xlfn.CONCAT("'Order Tracker'!S12:T",Data!$AM$3))))</f>
        <v>- -</v>
      </c>
      <c r="AA28" s="156">
        <f t="shared" ca="1" si="5"/>
        <v>0</v>
      </c>
      <c r="AB28" s="10"/>
      <c r="AC28" s="160" t="str">
        <f ca="1">IF(SUMIF(INDIRECT(_xlfn.CONCAT("'Order Tracker'!E12:F",Data!$AM$3)),DATE(2025,MATCH(UPPER($AC$10), {"JAN","FEB","MAR","APR","MAY","JUN","JUL","AUG","SEP","OCT","NOV","DEC"}, 0),(DAY($D28))),INDIRECT(_xlfn.CONCAT("'Order Tracker'!Q12:R",Data!$AM$3)))=0,"- -",SUMIF(INDIRECT(_xlfn.CONCAT("'Order Tracker'!E12:F",Data!$AM$3)),DATE(2025,MATCH(UPPER($AC$10), {"JAN","FEB","MAR","APR","MAY","JUN","JUL","AUG","SEP","OCT","NOV","DEC"}, 0),(DAY($D28))),INDIRECT(_xlfn.CONCAT("'Order Tracker'!Q12:R",Data!$AM$3))))</f>
        <v>- -</v>
      </c>
      <c r="AD28" s="160" t="str">
        <f ca="1">IF(SUMIF(INDIRECT(_xlfn.CONCAT("'Order Tracker'!E12:F",Data!$AM$3)),DATE(2025,MATCH(UPPER($AC$10), {"JAN","FEB","MAR","APR","MAY","JUN","JUL","AUG","SEP","OCT","NOV","DEC"}, 0),(DAY($D28))),INDIRECT(_xlfn.CONCAT("'Order Tracker'!S12:T",Data!$AM$3)))=0,"- -",SUMIF(INDIRECT(_xlfn.CONCAT("'Order Tracker'!E12:F",Data!$AM$3)),DATE(2025,MATCH(UPPER($AC$10), {"JAN","FEB","MAR","APR","MAY","JUN","JUL","AUG","SEP","OCT","NOV","DEC"}, 0),(DAY($D28))),INDIRECT(_xlfn.CONCAT("'Order Tracker'!S12:T",Data!$AM$3))))</f>
        <v>- -</v>
      </c>
      <c r="AE28" s="156">
        <f t="shared" ca="1" si="6"/>
        <v>0</v>
      </c>
      <c r="AF28" s="10"/>
      <c r="AG28" s="160" t="str">
        <f ca="1">IF(SUMIF(INDIRECT(_xlfn.CONCAT("'Order Tracker'!E12:F",Data!$AM$3)),DATE(2025,MATCH(UPPER($AG$10), {"JAN","FEB","MAR","APR","MAY","JUN","JUL","AUG","SEP","OCT","NOV","DEC"}, 0),(DAY($D28))),INDIRECT(_xlfn.CONCAT("'Order Tracker'!Q12:R",Data!$AM$3)))=0,"- -",SUMIF(INDIRECT(_xlfn.CONCAT("'Order Tracker'!E12:F",Data!$AM$3)),DATE(2025,MATCH(UPPER($AG$10), {"JAN","FEB","MAR","APR","MAY","JUN","JUL","AUG","SEP","OCT","NOV","DEC"}, 0),(DAY($D28))),INDIRECT(_xlfn.CONCAT("'Order Tracker'!Q12:R",Data!$AM$3))))</f>
        <v>- -</v>
      </c>
      <c r="AH28" s="160" t="str">
        <f ca="1">IF(SUMIF(INDIRECT(_xlfn.CONCAT("'Order Tracker'!E12:F",Data!$AM$3)),DATE(2025,MATCH(UPPER($AG$10), {"JAN","FEB","MAR","APR","MAY","JUN","JUL","AUG","SEP","OCT","NOV","DEC"}, 0),(DAY($D28))),INDIRECT(_xlfn.CONCAT("'Order Tracker'!S12:T",Data!$AM$3)))=0,"- -",SUMIF(INDIRECT(_xlfn.CONCAT("'Order Tracker'!E12:F",Data!$AM$3)),DATE(2025,MATCH(UPPER($AG$10), {"JAN","FEB","MAR","APR","MAY","JUN","JUL","AUG","SEP","OCT","NOV","DEC"}, 0),(DAY($D28))),INDIRECT(_xlfn.CONCAT("'Order Tracker'!S12:T",Data!$AM$3))))</f>
        <v>- -</v>
      </c>
      <c r="AI28" s="156">
        <f t="shared" ca="1" si="7"/>
        <v>0</v>
      </c>
      <c r="AJ28" s="10"/>
      <c r="AK28" s="160" t="str">
        <f ca="1">IF(SUMIF(INDIRECT(_xlfn.CONCAT("'Order Tracker'!E12:F",Data!$AM$3)),DATE(2025,MATCH(UPPER($AK$10), {"JAN","FEB","MAR","APR","MAY","JUN","JUL","AUG","SEP","OCT","NOV","DEC"}, 0),(DAY($D28))),INDIRECT(_xlfn.CONCAT("'Order Tracker'!Q12:R",Data!$AM$3)))=0,"- -",SUMIF(INDIRECT(_xlfn.CONCAT("'Order Tracker'!E12:F",Data!$AM$3)),DATE(2025,MATCH(UPPER($AK$10), {"JAN","FEB","MAR","APR","MAY","JUN","JUL","AUG","SEP","OCT","NOV","DEC"}, 0),(DAY($D28))),INDIRECT(_xlfn.CONCAT("'Order Tracker'!Q12:R",Data!$AM$3))))</f>
        <v>- -</v>
      </c>
      <c r="AL28" s="160" t="str">
        <f ca="1">IF(SUMIF(INDIRECT(_xlfn.CONCAT("'Order Tracker'!E12:F",Data!$AM$3)),DATE(2025,MATCH(UPPER($AK$10), {"JAN","FEB","MAR","APR","MAY","JUN","JUL","AUG","SEP","OCT","NOV","DEC"}, 0),(DAY($D28))),INDIRECT(_xlfn.CONCAT("'Order Tracker'!S12:T",Data!$AM$3)))=0,"- -",SUMIF(INDIRECT(_xlfn.CONCAT("'Order Tracker'!E12:F",Data!$AM$3)),DATE(2025,MATCH(UPPER($AK$10), {"JAN","FEB","MAR","APR","MAY","JUN","JUL","AUG","SEP","OCT","NOV","DEC"}, 0),(DAY($D28))),INDIRECT(_xlfn.CONCAT("'Order Tracker'!S12:T",Data!$AM$3))))</f>
        <v>- -</v>
      </c>
      <c r="AM28" s="156">
        <f t="shared" ca="1" si="8"/>
        <v>0</v>
      </c>
      <c r="AN28" s="10"/>
      <c r="AO28" s="160" t="str">
        <f ca="1">IF(SUMIF(INDIRECT(_xlfn.CONCAT("'Order Tracker'!E12:F",Data!$AM$3)),DATE(2025,MATCH(UPPER($AO$10), {"JAN","FEB","MAR","APR","MAY","JUN","JUL","AUG","SEP","OCT","NOV","DEC"}, 0),(DAY($D28))),INDIRECT(_xlfn.CONCAT("'Order Tracker'!Q12:R",Data!$AM$3)))=0,"- -",SUMIF(INDIRECT(_xlfn.CONCAT("'Order Tracker'!E12:F",Data!$AM$3)),DATE(2025,MATCH(UPPER($AO$10), {"JAN","FEB","MAR","APR","MAY","JUN","JUL","AUG","SEP","OCT","NOV","DEC"}, 0),(DAY($D28))),INDIRECT(_xlfn.CONCAT("'Order Tracker'!Q12:R",Data!$AM$3))))</f>
        <v>- -</v>
      </c>
      <c r="AP28" s="160" t="str">
        <f ca="1">IF(SUMIF(INDIRECT(_xlfn.CONCAT("'Order Tracker'!E12:F",Data!$AM$3)),DATE(2025,MATCH(UPPER($AO$10), {"JAN","FEB","MAR","APR","MAY","JUN","JUL","AUG","SEP","OCT","NOV","DEC"}, 0),(DAY($D28))),INDIRECT(_xlfn.CONCAT("'Order Tracker'!S12:T",Data!$AM$3)))=0,"- -",SUMIF(INDIRECT(_xlfn.CONCAT("'Order Tracker'!E12:F",Data!$AM$3)),DATE(2025,MATCH(UPPER($AO$10), {"JAN","FEB","MAR","APR","MAY","JUN","JUL","AUG","SEP","OCT","NOV","DEC"}, 0),(DAY($D28))),INDIRECT(_xlfn.CONCAT("'Order Tracker'!S12:T",Data!$AM$3))))</f>
        <v>- -</v>
      </c>
      <c r="AQ28" s="156">
        <f t="shared" ca="1" si="9"/>
        <v>0</v>
      </c>
      <c r="AR28" s="10"/>
      <c r="AS28" s="160" t="str">
        <f ca="1">IF(SUMIF(INDIRECT(_xlfn.CONCAT("'Order Tracker'!E12:F",Data!$AM$3)),DATE(2025,MATCH(UPPER($AS$10), {"JAN","FEB","MAR","APR","MAY","JUN","JUL","AUG","SEP","OCT","NOV","DEC"}, 0),(DAY($D28))),INDIRECT(_xlfn.CONCAT("'Order Tracker'!Q12:R",Data!$AM$3)))=0,"- -",SUMIF(INDIRECT(_xlfn.CONCAT("'Order Tracker'!E12:F",Data!$AM$3)),DATE(2025,MATCH(UPPER($AS$10), {"JAN","FEB","MAR","APR","MAY","JUN","JUL","AUG","SEP","OCT","NOV","DEC"}, 0),(DAY($D28))),INDIRECT(_xlfn.CONCAT("'Order Tracker'!Q12:R",Data!$AM$3))))</f>
        <v>- -</v>
      </c>
      <c r="AT28" s="160" t="str">
        <f ca="1">IF(SUMIF(INDIRECT(_xlfn.CONCAT("'Order Tracker'!E12:F",Data!$AM$3)),DATE(2025,MATCH(UPPER($AS$10), {"JAN","FEB","MAR","APR","MAY","JUN","JUL","AUG","SEP","OCT","NOV","DEC"}, 0),(DAY($D28))),INDIRECT(_xlfn.CONCAT("'Order Tracker'!S12:T",Data!$AM$3)))=0,"- -",SUMIF(INDIRECT(_xlfn.CONCAT("'Order Tracker'!E12:F",Data!$AM$3)),DATE(2025,MATCH(UPPER($AS$10), {"JAN","FEB","MAR","APR","MAY","JUN","JUL","AUG","SEP","OCT","NOV","DEC"}, 0),(DAY($D28))),INDIRECT(_xlfn.CONCAT("'Order Tracker'!S12:T",Data!$AM$3))))</f>
        <v>- -</v>
      </c>
      <c r="AU28" s="156">
        <f t="shared" ca="1" si="10"/>
        <v>0</v>
      </c>
      <c r="AV28" s="7"/>
      <c r="AW28" s="160" t="str">
        <f ca="1">IF(SUMIF(INDIRECT(_xlfn.CONCAT("'Order Tracker'!E12:F",Data!$AM$3)),DATE(2025,MATCH(UPPER($AW$10), {"JAN","FEB","MAR","APR","MAY","JUN","JUL","AUG","SEP","OCT","NOV","DEC"}, 0),(DAY($D28))),INDIRECT(_xlfn.CONCAT("'Order Tracker'!Q12:R",Data!$AM$3)))=0,"- -",SUMIF(INDIRECT(_xlfn.CONCAT("'Order Tracker'!E12:F",Data!$AM$3)),DATE(2025,MATCH(UPPER($AW$10), {"JAN","FEB","MAR","APR","MAY","JUN","JUL","AUG","SEP","OCT","NOV","DEC"}, 0),(DAY($D28))),INDIRECT(_xlfn.CONCAT("'Order Tracker'!Q12:R",Data!$AM$3))))</f>
        <v>- -</v>
      </c>
      <c r="AX28" s="160" t="str">
        <f ca="1">IF(SUMIF(INDIRECT(_xlfn.CONCAT("'Order Tracker'!E12:F",Data!$AM$3)),DATE(2025,MATCH(UPPER($AW$10), {"JAN","FEB","MAR","APR","MAY","JUN","JUL","AUG","SEP","OCT","NOV","DEC"}, 0),(DAY($D28))),INDIRECT(_xlfn.CONCAT("'Order Tracker'!S12:T",Data!$AM$3)))=0,"- -",SUMIF(INDIRECT(_xlfn.CONCAT("'Order Tracker'!E12:F",Data!$AM$3)),DATE(2025,MATCH(UPPER($AW$10), {"JAN","FEB","MAR","APR","MAY","JUN","JUL","AUG","SEP","OCT","NOV","DEC"}, 0),(DAY($D28))),INDIRECT(_xlfn.CONCAT("'Order Tracker'!S12:T",Data!$AM$3))))</f>
        <v>- -</v>
      </c>
      <c r="AY28" s="156">
        <f t="shared" ca="1" si="11"/>
        <v>0</v>
      </c>
      <c r="AZ28" s="109"/>
    </row>
    <row r="29" spans="4:52" ht="18" hidden="1" x14ac:dyDescent="0.2">
      <c r="D29" s="151">
        <v>16</v>
      </c>
      <c r="E29" s="160" t="str">
        <f ca="1">IF(SUMIF(INDIRECT(_xlfn.CONCAT("'Order Tracker'!E12:F",Data!$AM$3)),DATE(2025,MATCH(UPPER($E$10), {"JAN","FEB","MAR","APR","MAY","JUN","JUL","AUG","SEP","OCT","NOV","DEC"}, 0),(DAY($D29))),INDIRECT(_xlfn.CONCAT("'Order Tracker'!Q12:R",Data!$AM$3)))=0,"- -",SUMIF(INDIRECT(_xlfn.CONCAT("'Order Tracker'!E12:F",Data!$AM$3)),DATE(2025,MATCH(UPPER($E$10), {"JAN","FEB","MAR","APR","MAY","JUN","JUL","AUG","SEP","OCT","NOV","DEC"}, 0),(DAY($D29))),INDIRECT(_xlfn.CONCAT("'Order Tracker'!Q12:R",Data!$AM$3))))</f>
        <v>- -</v>
      </c>
      <c r="F29" s="160" t="str">
        <f ca="1">IF(SUMIF(INDIRECT(_xlfn.CONCAT("'Order Tracker'!E12:F",Data!$AM$3)),DATE(2025,MATCH(UPPER($E$10), {"JAN","FEB","MAR","APR","MAY","JUN","JUL","AUG","SEP","OCT","NOV","DEC"}, 0),(DAY($D29))),INDIRECT(_xlfn.CONCAT("'Order Tracker'!S12:T",Data!$AM$3)))=0,"- -",SUMIF(INDIRECT(_xlfn.CONCAT("'Order Tracker'!E12:F",Data!$AM$3)),DATE(2025,MATCH(UPPER($E$10), {"JAN","FEB","MAR","APR","MAY","JUN","JUL","AUG","SEP","OCT","NOV","DEC"}, 0),(DAY($D29))),INDIRECT(_xlfn.CONCAT("'Order Tracker'!S12:T",Data!$AM$3))))</f>
        <v>- -</v>
      </c>
      <c r="G29" s="156">
        <f t="shared" ca="1" si="0"/>
        <v>0</v>
      </c>
      <c r="H29" s="10"/>
      <c r="I29" s="160" t="str">
        <f ca="1">IF(SUMIF(INDIRECT(_xlfn.CONCAT("'Order Tracker'!E12:F",Data!$AM$3)),DATE(2025,MATCH(UPPER($I$10), {"JAN","FEB","MAR","APR","MAY","JUN","JUL","AUG","SEP","OCT","NOV","DEC"}, 0),(DAY($D29))),INDIRECT(_xlfn.CONCAT("'Order Tracker'!Q12:R",Data!$AM$3)))=0,"- -",SUMIF(INDIRECT(_xlfn.CONCAT("'Order Tracker'!E12:F",Data!$AM$3)),DATE(2025,MATCH(UPPER($I$10), {"JAN","FEB","MAR","APR","MAY","JUN","JUL","AUG","SEP","OCT","NOV","DEC"}, 0),(DAY($D29))),INDIRECT(_xlfn.CONCAT("'Order Tracker'!Q12:R",Data!$AM$3))))</f>
        <v>- -</v>
      </c>
      <c r="J29" s="160" t="str">
        <f ca="1">IF(SUMIF(INDIRECT(_xlfn.CONCAT("'Order Tracker'!E12:F",Data!$AM$3)),DATE(2025,MATCH(UPPER($I$10), {"JAN","FEB","MAR","APR","MAY","JUN","JUL","AUG","SEP","OCT","NOV","DEC"}, 0),(DAY($D29))),INDIRECT(_xlfn.CONCAT("'Order Tracker'!S12:T",Data!$AM$3)))=0,"- -",SUMIF(INDIRECT(_xlfn.CONCAT("'Order Tracker'!E12:F",Data!$AM$3)),DATE(2025,MATCH(UPPER($I$10), {"JAN","FEB","MAR","APR","MAY","JUN","JUL","AUG","SEP","OCT","NOV","DEC"}, 0),(DAY($D29))),INDIRECT(_xlfn.CONCAT("'Order Tracker'!S12:T",Data!$AM$3))))</f>
        <v>- -</v>
      </c>
      <c r="K29" s="156">
        <f t="shared" ca="1" si="1"/>
        <v>0</v>
      </c>
      <c r="L29" s="10"/>
      <c r="M29" s="160" t="str">
        <f ca="1">IF(SUMIF(INDIRECT(_xlfn.CONCAT("'Order Tracker'!E12:F",Data!$AM$3)),DATE(2025,MATCH(UPPER($M$10), {"JAN","FEB","MAR","APR","MAY","JUN","JUL","AUG","SEP","OCT","NOV","DEC"}, 0),(DAY($D29))),INDIRECT(_xlfn.CONCAT("'Order Tracker'!Q12:R",Data!$AM$3)))=0,"- -",SUMIF(INDIRECT(_xlfn.CONCAT("'Order Tracker'!E12:F",Data!$AM$3)),DATE(2025,MATCH(UPPER($M$10), {"JAN","FEB","MAR","APR","MAY","JUN","JUL","AUG","SEP","OCT","NOV","DEC"}, 0),(DAY($D29))),INDIRECT(_xlfn.CONCAT("'Order Tracker'!Q12:R",Data!$AM$3))))</f>
        <v>- -</v>
      </c>
      <c r="N29" s="160" t="str">
        <f ca="1">IF(SUMIF(INDIRECT(_xlfn.CONCAT("'Order Tracker'!E12:F",Data!$AM$3)),DATE(2025,MATCH(UPPER($M$10), {"JAN","FEB","MAR","APR","MAY","JUN","JUL","AUG","SEP","OCT","NOV","DEC"}, 0),(DAY($D29))),INDIRECT(_xlfn.CONCAT("'Order Tracker'!S12:T",Data!$AM$3)))=0,"- -",SUMIF(INDIRECT(_xlfn.CONCAT("'Order Tracker'!E12:F",Data!$AM$3)),DATE(2025,MATCH(UPPER($M$10), {"JAN","FEB","MAR","APR","MAY","JUN","JUL","AUG","SEP","OCT","NOV","DEC"}, 0),(DAY($D29))),INDIRECT(_xlfn.CONCAT("'Order Tracker'!S12:T",Data!$AM$3))))</f>
        <v>- -</v>
      </c>
      <c r="O29" s="156">
        <f t="shared" ca="1" si="2"/>
        <v>0</v>
      </c>
      <c r="P29" s="10"/>
      <c r="Q29" s="160" t="str">
        <f ca="1">IF(SUMIF(INDIRECT(_xlfn.CONCAT("'Order Tracker'!E12:F",Data!$AM$3)),DATE(2025,MATCH(UPPER($Q$10), {"JAN","FEB","MAR","APR","MAY","JUN","JUL","AUG","SEP","OCT","NOV","DEC"}, 0),(DAY($D29))),INDIRECT(_xlfn.CONCAT("'Order Tracker'!Q12:R",Data!$AM$3)))=0,"- -",SUMIF(INDIRECT(_xlfn.CONCAT("'Order Tracker'!E12:F",Data!$AM$3)),DATE(2025,MATCH(UPPER($Q$10), {"JAN","FEB","MAR","APR","MAY","JUN","JUL","AUG","SEP","OCT","NOV","DEC"}, 0),(DAY($D29))),INDIRECT(_xlfn.CONCAT("'Order Tracker'!Q12:R",Data!$AM$3))))</f>
        <v>- -</v>
      </c>
      <c r="R29" s="160" t="str">
        <f ca="1">IF(SUMIF(INDIRECT(_xlfn.CONCAT("'Order Tracker'!E12:F",Data!$AM$3)),DATE(2025,MATCH(UPPER($Q$10), {"JAN","FEB","MAR","APR","MAY","JUN","JUL","AUG","SEP","OCT","NOV","DEC"}, 0),(DAY($D29))),INDIRECT(_xlfn.CONCAT("'Order Tracker'!S12:T",Data!$AM$3)))=0,"- -",SUMIF(INDIRECT(_xlfn.CONCAT("'Order Tracker'!E12:F",Data!$AM$3)),DATE(2025,MATCH(UPPER($Q$10), {"JAN","FEB","MAR","APR","MAY","JUN","JUL","AUG","SEP","OCT","NOV","DEC"}, 0),(DAY($D29))),INDIRECT(_xlfn.CONCAT("'Order Tracker'!S12:T",Data!$AM$3))))</f>
        <v>- -</v>
      </c>
      <c r="S29" s="156">
        <f t="shared" ca="1" si="3"/>
        <v>0</v>
      </c>
      <c r="T29" s="10"/>
      <c r="U29" s="160" t="str">
        <f ca="1">IF(SUMIF(INDIRECT(_xlfn.CONCAT("'Order Tracker'!E12:F",Data!$AM$3)),DATE(2025,MATCH(UPPER($U$10), {"JAN","FEB","MAR","APR","MAY","JUN","JUL","AUG","SEP","OCT","NOV","DEC"}, 0),(DAY($D29))),INDIRECT(_xlfn.CONCAT("'Order Tracker'!Q12:R",Data!$AM$3)))=0,"- -",SUMIF(INDIRECT(_xlfn.CONCAT("'Order Tracker'!E12:F",Data!$AM$3)),DATE(2025,MATCH(UPPER($U$10), {"JAN","FEB","MAR","APR","MAY","JUN","JUL","AUG","SEP","OCT","NOV","DEC"}, 0),(DAY($D29))),INDIRECT(_xlfn.CONCAT("'Order Tracker'!Q12:R",Data!$AM$3))))</f>
        <v>- -</v>
      </c>
      <c r="V29" s="160" t="str">
        <f ca="1">IF(SUMIF(INDIRECT(_xlfn.CONCAT("'Order Tracker'!E12:F",Data!$AM$3)),DATE(2025,MATCH(UPPER($U$10), {"JAN","FEB","MAR","APR","MAY","JUN","JUL","AUG","SEP","OCT","NOV","DEC"}, 0),(DAY($D29))),INDIRECT(_xlfn.CONCAT("'Order Tracker'!S12:T",Data!$AM$3)))=0,"- -",SUMIF(INDIRECT(_xlfn.CONCAT("'Order Tracker'!E12:F",Data!$AM$3)),DATE(2025,MATCH(UPPER($U$10), {"JAN","FEB","MAR","APR","MAY","JUN","JUL","AUG","SEP","OCT","NOV","DEC"}, 0),(DAY($D29))),INDIRECT(_xlfn.CONCAT("'Order Tracker'!S12:T",Data!$AM$3))))</f>
        <v>- -</v>
      </c>
      <c r="W29" s="156">
        <f t="shared" ca="1" si="4"/>
        <v>0</v>
      </c>
      <c r="X29" s="10"/>
      <c r="Y29" s="160" t="str">
        <f ca="1">IF(SUMIF(INDIRECT(_xlfn.CONCAT("'Order Tracker'!E12:F",Data!$AM$3)),DATE(2025,MATCH(UPPER($Y$10), {"JAN","FEB","MAR","APR","MAY","JUN","JUL","AUG","SEP","OCT","NOV","DEC"}, 0),(DAY($D29))),INDIRECT(_xlfn.CONCAT("'Order Tracker'!Q12:R",Data!$AM$3)))=0,"- -",SUMIF(INDIRECT(_xlfn.CONCAT("'Order Tracker'!E12:F",Data!$AM$3)),DATE(2025,MATCH(UPPER($Y$10), {"JAN","FEB","MAR","APR","MAY","JUN","JUL","AUG","SEP","OCT","NOV","DEC"}, 0),(DAY($D29))),INDIRECT(_xlfn.CONCAT("'Order Tracker'!Q12:R",Data!$AM$3))))</f>
        <v>- -</v>
      </c>
      <c r="Z29" s="160" t="str">
        <f ca="1">IF(SUMIF(INDIRECT(_xlfn.CONCAT("'Order Tracker'!E12:F",Data!$AM$3)),DATE(2025,MATCH(UPPER($Y$10), {"JAN","FEB","MAR","APR","MAY","JUN","JUL","AUG","SEP","OCT","NOV","DEC"}, 0),(DAY($D29))),INDIRECT(_xlfn.CONCAT("'Order Tracker'!S12:T",Data!$AM$3)))=0,"- -",SUMIF(INDIRECT(_xlfn.CONCAT("'Order Tracker'!E12:F",Data!$AM$3)),DATE(2025,MATCH(UPPER($Y$10), {"JAN","FEB","MAR","APR","MAY","JUN","JUL","AUG","SEP","OCT","NOV","DEC"}, 0),(DAY($D29))),INDIRECT(_xlfn.CONCAT("'Order Tracker'!S12:T",Data!$AM$3))))</f>
        <v>- -</v>
      </c>
      <c r="AA29" s="156">
        <f t="shared" ca="1" si="5"/>
        <v>0</v>
      </c>
      <c r="AB29" s="10"/>
      <c r="AC29" s="160" t="str">
        <f ca="1">IF(SUMIF(INDIRECT(_xlfn.CONCAT("'Order Tracker'!E12:F",Data!$AM$3)),DATE(2025,MATCH(UPPER($AC$10), {"JAN","FEB","MAR","APR","MAY","JUN","JUL","AUG","SEP","OCT","NOV","DEC"}, 0),(DAY($D29))),INDIRECT(_xlfn.CONCAT("'Order Tracker'!Q12:R",Data!$AM$3)))=0,"- -",SUMIF(INDIRECT(_xlfn.CONCAT("'Order Tracker'!E12:F",Data!$AM$3)),DATE(2025,MATCH(UPPER($AC$10), {"JAN","FEB","MAR","APR","MAY","JUN","JUL","AUG","SEP","OCT","NOV","DEC"}, 0),(DAY($D29))),INDIRECT(_xlfn.CONCAT("'Order Tracker'!Q12:R",Data!$AM$3))))</f>
        <v>- -</v>
      </c>
      <c r="AD29" s="160" t="str">
        <f ca="1">IF(SUMIF(INDIRECT(_xlfn.CONCAT("'Order Tracker'!E12:F",Data!$AM$3)),DATE(2025,MATCH(UPPER($AC$10), {"JAN","FEB","MAR","APR","MAY","JUN","JUL","AUG","SEP","OCT","NOV","DEC"}, 0),(DAY($D29))),INDIRECT(_xlfn.CONCAT("'Order Tracker'!S12:T",Data!$AM$3)))=0,"- -",SUMIF(INDIRECT(_xlfn.CONCAT("'Order Tracker'!E12:F",Data!$AM$3)),DATE(2025,MATCH(UPPER($AC$10), {"JAN","FEB","MAR","APR","MAY","JUN","JUL","AUG","SEP","OCT","NOV","DEC"}, 0),(DAY($D29))),INDIRECT(_xlfn.CONCAT("'Order Tracker'!S12:T",Data!$AM$3))))</f>
        <v>- -</v>
      </c>
      <c r="AE29" s="156">
        <f t="shared" ca="1" si="6"/>
        <v>0</v>
      </c>
      <c r="AF29" s="10"/>
      <c r="AG29" s="160" t="str">
        <f ca="1">IF(SUMIF(INDIRECT(_xlfn.CONCAT("'Order Tracker'!E12:F",Data!$AM$3)),DATE(2025,MATCH(UPPER($AG$10), {"JAN","FEB","MAR","APR","MAY","JUN","JUL","AUG","SEP","OCT","NOV","DEC"}, 0),(DAY($D29))),INDIRECT(_xlfn.CONCAT("'Order Tracker'!Q12:R",Data!$AM$3)))=0,"- -",SUMIF(INDIRECT(_xlfn.CONCAT("'Order Tracker'!E12:F",Data!$AM$3)),DATE(2025,MATCH(UPPER($AG$10), {"JAN","FEB","MAR","APR","MAY","JUN","JUL","AUG","SEP","OCT","NOV","DEC"}, 0),(DAY($D29))),INDIRECT(_xlfn.CONCAT("'Order Tracker'!Q12:R",Data!$AM$3))))</f>
        <v>- -</v>
      </c>
      <c r="AH29" s="160" t="str">
        <f ca="1">IF(SUMIF(INDIRECT(_xlfn.CONCAT("'Order Tracker'!E12:F",Data!$AM$3)),DATE(2025,MATCH(UPPER($AG$10), {"JAN","FEB","MAR","APR","MAY","JUN","JUL","AUG","SEP","OCT","NOV","DEC"}, 0),(DAY($D29))),INDIRECT(_xlfn.CONCAT("'Order Tracker'!S12:T",Data!$AM$3)))=0,"- -",SUMIF(INDIRECT(_xlfn.CONCAT("'Order Tracker'!E12:F",Data!$AM$3)),DATE(2025,MATCH(UPPER($AG$10), {"JAN","FEB","MAR","APR","MAY","JUN","JUL","AUG","SEP","OCT","NOV","DEC"}, 0),(DAY($D29))),INDIRECT(_xlfn.CONCAT("'Order Tracker'!S12:T",Data!$AM$3))))</f>
        <v>- -</v>
      </c>
      <c r="AI29" s="156">
        <f t="shared" ca="1" si="7"/>
        <v>0</v>
      </c>
      <c r="AJ29" s="10"/>
      <c r="AK29" s="160" t="str">
        <f ca="1">IF(SUMIF(INDIRECT(_xlfn.CONCAT("'Order Tracker'!E12:F",Data!$AM$3)),DATE(2025,MATCH(UPPER($AK$10), {"JAN","FEB","MAR","APR","MAY","JUN","JUL","AUG","SEP","OCT","NOV","DEC"}, 0),(DAY($D29))),INDIRECT(_xlfn.CONCAT("'Order Tracker'!Q12:R",Data!$AM$3)))=0,"- -",SUMIF(INDIRECT(_xlfn.CONCAT("'Order Tracker'!E12:F",Data!$AM$3)),DATE(2025,MATCH(UPPER($AK$10), {"JAN","FEB","MAR","APR","MAY","JUN","JUL","AUG","SEP","OCT","NOV","DEC"}, 0),(DAY($D29))),INDIRECT(_xlfn.CONCAT("'Order Tracker'!Q12:R",Data!$AM$3))))</f>
        <v>- -</v>
      </c>
      <c r="AL29" s="160" t="str">
        <f ca="1">IF(SUMIF(INDIRECT(_xlfn.CONCAT("'Order Tracker'!E12:F",Data!$AM$3)),DATE(2025,MATCH(UPPER($AK$10), {"JAN","FEB","MAR","APR","MAY","JUN","JUL","AUG","SEP","OCT","NOV","DEC"}, 0),(DAY($D29))),INDIRECT(_xlfn.CONCAT("'Order Tracker'!S12:T",Data!$AM$3)))=0,"- -",SUMIF(INDIRECT(_xlfn.CONCAT("'Order Tracker'!E12:F",Data!$AM$3)),DATE(2025,MATCH(UPPER($AK$10), {"JAN","FEB","MAR","APR","MAY","JUN","JUL","AUG","SEP","OCT","NOV","DEC"}, 0),(DAY($D29))),INDIRECT(_xlfn.CONCAT("'Order Tracker'!S12:T",Data!$AM$3))))</f>
        <v>- -</v>
      </c>
      <c r="AM29" s="156">
        <f t="shared" ca="1" si="8"/>
        <v>0</v>
      </c>
      <c r="AN29" s="10"/>
      <c r="AO29" s="160" t="str">
        <f ca="1">IF(SUMIF(INDIRECT(_xlfn.CONCAT("'Order Tracker'!E12:F",Data!$AM$3)),DATE(2025,MATCH(UPPER($AO$10), {"JAN","FEB","MAR","APR","MAY","JUN","JUL","AUG","SEP","OCT","NOV","DEC"}, 0),(DAY($D29))),INDIRECT(_xlfn.CONCAT("'Order Tracker'!Q12:R",Data!$AM$3)))=0,"- -",SUMIF(INDIRECT(_xlfn.CONCAT("'Order Tracker'!E12:F",Data!$AM$3)),DATE(2025,MATCH(UPPER($AO$10), {"JAN","FEB","MAR","APR","MAY","JUN","JUL","AUG","SEP","OCT","NOV","DEC"}, 0),(DAY($D29))),INDIRECT(_xlfn.CONCAT("'Order Tracker'!Q12:R",Data!$AM$3))))</f>
        <v>- -</v>
      </c>
      <c r="AP29" s="160" t="str">
        <f ca="1">IF(SUMIF(INDIRECT(_xlfn.CONCAT("'Order Tracker'!E12:F",Data!$AM$3)),DATE(2025,MATCH(UPPER($AO$10), {"JAN","FEB","MAR","APR","MAY","JUN","JUL","AUG","SEP","OCT","NOV","DEC"}, 0),(DAY($D29))),INDIRECT(_xlfn.CONCAT("'Order Tracker'!S12:T",Data!$AM$3)))=0,"- -",SUMIF(INDIRECT(_xlfn.CONCAT("'Order Tracker'!E12:F",Data!$AM$3)),DATE(2025,MATCH(UPPER($AO$10), {"JAN","FEB","MAR","APR","MAY","JUN","JUL","AUG","SEP","OCT","NOV","DEC"}, 0),(DAY($D29))),INDIRECT(_xlfn.CONCAT("'Order Tracker'!S12:T",Data!$AM$3))))</f>
        <v>- -</v>
      </c>
      <c r="AQ29" s="156">
        <f t="shared" ca="1" si="9"/>
        <v>0</v>
      </c>
      <c r="AR29" s="10"/>
      <c r="AS29" s="160" t="str">
        <f ca="1">IF(SUMIF(INDIRECT(_xlfn.CONCAT("'Order Tracker'!E12:F",Data!$AM$3)),DATE(2025,MATCH(UPPER($AS$10), {"JAN","FEB","MAR","APR","MAY","JUN","JUL","AUG","SEP","OCT","NOV","DEC"}, 0),(DAY($D29))),INDIRECT(_xlfn.CONCAT("'Order Tracker'!Q12:R",Data!$AM$3)))=0,"- -",SUMIF(INDIRECT(_xlfn.CONCAT("'Order Tracker'!E12:F",Data!$AM$3)),DATE(2025,MATCH(UPPER($AS$10), {"JAN","FEB","MAR","APR","MAY","JUN","JUL","AUG","SEP","OCT","NOV","DEC"}, 0),(DAY($D29))),INDIRECT(_xlfn.CONCAT("'Order Tracker'!Q12:R",Data!$AM$3))))</f>
        <v>- -</v>
      </c>
      <c r="AT29" s="160" t="str">
        <f ca="1">IF(SUMIF(INDIRECT(_xlfn.CONCAT("'Order Tracker'!E12:F",Data!$AM$3)),DATE(2025,MATCH(UPPER($AS$10), {"JAN","FEB","MAR","APR","MAY","JUN","JUL","AUG","SEP","OCT","NOV","DEC"}, 0),(DAY($D29))),INDIRECT(_xlfn.CONCAT("'Order Tracker'!S12:T",Data!$AM$3)))=0,"- -",SUMIF(INDIRECT(_xlfn.CONCAT("'Order Tracker'!E12:F",Data!$AM$3)),DATE(2025,MATCH(UPPER($AS$10), {"JAN","FEB","MAR","APR","MAY","JUN","JUL","AUG","SEP","OCT","NOV","DEC"}, 0),(DAY($D29))),INDIRECT(_xlfn.CONCAT("'Order Tracker'!S12:T",Data!$AM$3))))</f>
        <v>- -</v>
      </c>
      <c r="AU29" s="156">
        <f t="shared" ca="1" si="10"/>
        <v>0</v>
      </c>
      <c r="AV29" s="7"/>
      <c r="AW29" s="160" t="str">
        <f ca="1">IF(SUMIF(INDIRECT(_xlfn.CONCAT("'Order Tracker'!E12:F",Data!$AM$3)),DATE(2025,MATCH(UPPER($AW$10), {"JAN","FEB","MAR","APR","MAY","JUN","JUL","AUG","SEP","OCT","NOV","DEC"}, 0),(DAY($D29))),INDIRECT(_xlfn.CONCAT("'Order Tracker'!Q12:R",Data!$AM$3)))=0,"- -",SUMIF(INDIRECT(_xlfn.CONCAT("'Order Tracker'!E12:F",Data!$AM$3)),DATE(2025,MATCH(UPPER($AW$10), {"JAN","FEB","MAR","APR","MAY","JUN","JUL","AUG","SEP","OCT","NOV","DEC"}, 0),(DAY($D29))),INDIRECT(_xlfn.CONCAT("'Order Tracker'!Q12:R",Data!$AM$3))))</f>
        <v>- -</v>
      </c>
      <c r="AX29" s="160" t="str">
        <f ca="1">IF(SUMIF(INDIRECT(_xlfn.CONCAT("'Order Tracker'!E12:F",Data!$AM$3)),DATE(2025,MATCH(UPPER($AW$10), {"JAN","FEB","MAR","APR","MAY","JUN","JUL","AUG","SEP","OCT","NOV","DEC"}, 0),(DAY($D29))),INDIRECT(_xlfn.CONCAT("'Order Tracker'!S12:T",Data!$AM$3)))=0,"- -",SUMIF(INDIRECT(_xlfn.CONCAT("'Order Tracker'!E12:F",Data!$AM$3)),DATE(2025,MATCH(UPPER($AW$10), {"JAN","FEB","MAR","APR","MAY","JUN","JUL","AUG","SEP","OCT","NOV","DEC"}, 0),(DAY($D29))),INDIRECT(_xlfn.CONCAT("'Order Tracker'!S12:T",Data!$AM$3))))</f>
        <v>- -</v>
      </c>
      <c r="AY29" s="156">
        <f t="shared" ca="1" si="11"/>
        <v>0</v>
      </c>
      <c r="AZ29" s="109"/>
    </row>
    <row r="30" spans="4:52" ht="18" hidden="1" x14ac:dyDescent="0.2">
      <c r="D30" s="151">
        <v>17</v>
      </c>
      <c r="E30" s="160" t="str">
        <f ca="1">IF(SUMIF(INDIRECT(_xlfn.CONCAT("'Order Tracker'!E12:F",Data!$AM$3)),DATE(2025,MATCH(UPPER($E$10), {"JAN","FEB","MAR","APR","MAY","JUN","JUL","AUG","SEP","OCT","NOV","DEC"}, 0),(DAY($D30))),INDIRECT(_xlfn.CONCAT("'Order Tracker'!Q12:R",Data!$AM$3)))=0,"- -",SUMIF(INDIRECT(_xlfn.CONCAT("'Order Tracker'!E12:F",Data!$AM$3)),DATE(2025,MATCH(UPPER($E$10), {"JAN","FEB","MAR","APR","MAY","JUN","JUL","AUG","SEP","OCT","NOV","DEC"}, 0),(DAY($D30))),INDIRECT(_xlfn.CONCAT("'Order Tracker'!Q12:R",Data!$AM$3))))</f>
        <v>- -</v>
      </c>
      <c r="F30" s="160" t="str">
        <f ca="1">IF(SUMIF(INDIRECT(_xlfn.CONCAT("'Order Tracker'!E12:F",Data!$AM$3)),DATE(2025,MATCH(UPPER($E$10), {"JAN","FEB","MAR","APR","MAY","JUN","JUL","AUG","SEP","OCT","NOV","DEC"}, 0),(DAY($D30))),INDIRECT(_xlfn.CONCAT("'Order Tracker'!S12:T",Data!$AM$3)))=0,"- -",SUMIF(INDIRECT(_xlfn.CONCAT("'Order Tracker'!E12:F",Data!$AM$3)),DATE(2025,MATCH(UPPER($E$10), {"JAN","FEB","MAR","APR","MAY","JUN","JUL","AUG","SEP","OCT","NOV","DEC"}, 0),(DAY($D30))),INDIRECT(_xlfn.CONCAT("'Order Tracker'!S12:T",Data!$AM$3))))</f>
        <v>- -</v>
      </c>
      <c r="G30" s="156">
        <f t="shared" ca="1" si="0"/>
        <v>0</v>
      </c>
      <c r="H30" s="10"/>
      <c r="I30" s="160" t="str">
        <f ca="1">IF(SUMIF(INDIRECT(_xlfn.CONCAT("'Order Tracker'!E12:F",Data!$AM$3)),DATE(2025,MATCH(UPPER($I$10), {"JAN","FEB","MAR","APR","MAY","JUN","JUL","AUG","SEP","OCT","NOV","DEC"}, 0),(DAY($D30))),INDIRECT(_xlfn.CONCAT("'Order Tracker'!Q12:R",Data!$AM$3)))=0,"- -",SUMIF(INDIRECT(_xlfn.CONCAT("'Order Tracker'!E12:F",Data!$AM$3)),DATE(2025,MATCH(UPPER($I$10), {"JAN","FEB","MAR","APR","MAY","JUN","JUL","AUG","SEP","OCT","NOV","DEC"}, 0),(DAY($D30))),INDIRECT(_xlfn.CONCAT("'Order Tracker'!Q12:R",Data!$AM$3))))</f>
        <v>- -</v>
      </c>
      <c r="J30" s="160" t="str">
        <f ca="1">IF(SUMIF(INDIRECT(_xlfn.CONCAT("'Order Tracker'!E12:F",Data!$AM$3)),DATE(2025,MATCH(UPPER($I$10), {"JAN","FEB","MAR","APR","MAY","JUN","JUL","AUG","SEP","OCT","NOV","DEC"}, 0),(DAY($D30))),INDIRECT(_xlfn.CONCAT("'Order Tracker'!S12:T",Data!$AM$3)))=0,"- -",SUMIF(INDIRECT(_xlfn.CONCAT("'Order Tracker'!E12:F",Data!$AM$3)),DATE(2025,MATCH(UPPER($I$10), {"JAN","FEB","MAR","APR","MAY","JUN","JUL","AUG","SEP","OCT","NOV","DEC"}, 0),(DAY($D30))),INDIRECT(_xlfn.CONCAT("'Order Tracker'!S12:T",Data!$AM$3))))</f>
        <v>- -</v>
      </c>
      <c r="K30" s="156">
        <f t="shared" ca="1" si="1"/>
        <v>0</v>
      </c>
      <c r="L30" s="10"/>
      <c r="M30" s="160" t="str">
        <f ca="1">IF(SUMIF(INDIRECT(_xlfn.CONCAT("'Order Tracker'!E12:F",Data!$AM$3)),DATE(2025,MATCH(UPPER($M$10), {"JAN","FEB","MAR","APR","MAY","JUN","JUL","AUG","SEP","OCT","NOV","DEC"}, 0),(DAY($D30))),INDIRECT(_xlfn.CONCAT("'Order Tracker'!Q12:R",Data!$AM$3)))=0,"- -",SUMIF(INDIRECT(_xlfn.CONCAT("'Order Tracker'!E12:F",Data!$AM$3)),DATE(2025,MATCH(UPPER($M$10), {"JAN","FEB","MAR","APR","MAY","JUN","JUL","AUG","SEP","OCT","NOV","DEC"}, 0),(DAY($D30))),INDIRECT(_xlfn.CONCAT("'Order Tracker'!Q12:R",Data!$AM$3))))</f>
        <v>- -</v>
      </c>
      <c r="N30" s="160" t="str">
        <f ca="1">IF(SUMIF(INDIRECT(_xlfn.CONCAT("'Order Tracker'!E12:F",Data!$AM$3)),DATE(2025,MATCH(UPPER($M$10), {"JAN","FEB","MAR","APR","MAY","JUN","JUL","AUG","SEP","OCT","NOV","DEC"}, 0),(DAY($D30))),INDIRECT(_xlfn.CONCAT("'Order Tracker'!S12:T",Data!$AM$3)))=0,"- -",SUMIF(INDIRECT(_xlfn.CONCAT("'Order Tracker'!E12:F",Data!$AM$3)),DATE(2025,MATCH(UPPER($M$10), {"JAN","FEB","MAR","APR","MAY","JUN","JUL","AUG","SEP","OCT","NOV","DEC"}, 0),(DAY($D30))),INDIRECT(_xlfn.CONCAT("'Order Tracker'!S12:T",Data!$AM$3))))</f>
        <v>- -</v>
      </c>
      <c r="O30" s="156">
        <f t="shared" ca="1" si="2"/>
        <v>0</v>
      </c>
      <c r="P30" s="10"/>
      <c r="Q30" s="160" t="str">
        <f ca="1">IF(SUMIF(INDIRECT(_xlfn.CONCAT("'Order Tracker'!E12:F",Data!$AM$3)),DATE(2025,MATCH(UPPER($Q$10), {"JAN","FEB","MAR","APR","MAY","JUN","JUL","AUG","SEP","OCT","NOV","DEC"}, 0),(DAY($D30))),INDIRECT(_xlfn.CONCAT("'Order Tracker'!Q12:R",Data!$AM$3)))=0,"- -",SUMIF(INDIRECT(_xlfn.CONCAT("'Order Tracker'!E12:F",Data!$AM$3)),DATE(2025,MATCH(UPPER($Q$10), {"JAN","FEB","MAR","APR","MAY","JUN","JUL","AUG","SEP","OCT","NOV","DEC"}, 0),(DAY($D30))),INDIRECT(_xlfn.CONCAT("'Order Tracker'!Q12:R",Data!$AM$3))))</f>
        <v>- -</v>
      </c>
      <c r="R30" s="160" t="str">
        <f ca="1">IF(SUMIF(INDIRECT(_xlfn.CONCAT("'Order Tracker'!E12:F",Data!$AM$3)),DATE(2025,MATCH(UPPER($Q$10), {"JAN","FEB","MAR","APR","MAY","JUN","JUL","AUG","SEP","OCT","NOV","DEC"}, 0),(DAY($D30))),INDIRECT(_xlfn.CONCAT("'Order Tracker'!S12:T",Data!$AM$3)))=0,"- -",SUMIF(INDIRECT(_xlfn.CONCAT("'Order Tracker'!E12:F",Data!$AM$3)),DATE(2025,MATCH(UPPER($Q$10), {"JAN","FEB","MAR","APR","MAY","JUN","JUL","AUG","SEP","OCT","NOV","DEC"}, 0),(DAY($D30))),INDIRECT(_xlfn.CONCAT("'Order Tracker'!S12:T",Data!$AM$3))))</f>
        <v>- -</v>
      </c>
      <c r="S30" s="156">
        <f t="shared" ca="1" si="3"/>
        <v>0</v>
      </c>
      <c r="T30" s="10"/>
      <c r="U30" s="160" t="str">
        <f ca="1">IF(SUMIF(INDIRECT(_xlfn.CONCAT("'Order Tracker'!E12:F",Data!$AM$3)),DATE(2025,MATCH(UPPER($U$10), {"JAN","FEB","MAR","APR","MAY","JUN","JUL","AUG","SEP","OCT","NOV","DEC"}, 0),(DAY($D30))),INDIRECT(_xlfn.CONCAT("'Order Tracker'!Q12:R",Data!$AM$3)))=0,"- -",SUMIF(INDIRECT(_xlfn.CONCAT("'Order Tracker'!E12:F",Data!$AM$3)),DATE(2025,MATCH(UPPER($U$10), {"JAN","FEB","MAR","APR","MAY","JUN","JUL","AUG","SEP","OCT","NOV","DEC"}, 0),(DAY($D30))),INDIRECT(_xlfn.CONCAT("'Order Tracker'!Q12:R",Data!$AM$3))))</f>
        <v>- -</v>
      </c>
      <c r="V30" s="160" t="str">
        <f ca="1">IF(SUMIF(INDIRECT(_xlfn.CONCAT("'Order Tracker'!E12:F",Data!$AM$3)),DATE(2025,MATCH(UPPER($U$10), {"JAN","FEB","MAR","APR","MAY","JUN","JUL","AUG","SEP","OCT","NOV","DEC"}, 0),(DAY($D30))),INDIRECT(_xlfn.CONCAT("'Order Tracker'!S12:T",Data!$AM$3)))=0,"- -",SUMIF(INDIRECT(_xlfn.CONCAT("'Order Tracker'!E12:F",Data!$AM$3)),DATE(2025,MATCH(UPPER($U$10), {"JAN","FEB","MAR","APR","MAY","JUN","JUL","AUG","SEP","OCT","NOV","DEC"}, 0),(DAY($D30))),INDIRECT(_xlfn.CONCAT("'Order Tracker'!S12:T",Data!$AM$3))))</f>
        <v>- -</v>
      </c>
      <c r="W30" s="156">
        <f t="shared" ca="1" si="4"/>
        <v>0</v>
      </c>
      <c r="X30" s="10"/>
      <c r="Y30" s="160" t="str">
        <f ca="1">IF(SUMIF(INDIRECT(_xlfn.CONCAT("'Order Tracker'!E12:F",Data!$AM$3)),DATE(2025,MATCH(UPPER($Y$10), {"JAN","FEB","MAR","APR","MAY","JUN","JUL","AUG","SEP","OCT","NOV","DEC"}, 0),(DAY($D30))),INDIRECT(_xlfn.CONCAT("'Order Tracker'!Q12:R",Data!$AM$3)))=0,"- -",SUMIF(INDIRECT(_xlfn.CONCAT("'Order Tracker'!E12:F",Data!$AM$3)),DATE(2025,MATCH(UPPER($Y$10), {"JAN","FEB","MAR","APR","MAY","JUN","JUL","AUG","SEP","OCT","NOV","DEC"}, 0),(DAY($D30))),INDIRECT(_xlfn.CONCAT("'Order Tracker'!Q12:R",Data!$AM$3))))</f>
        <v>- -</v>
      </c>
      <c r="Z30" s="160" t="str">
        <f ca="1">IF(SUMIF(INDIRECT(_xlfn.CONCAT("'Order Tracker'!E12:F",Data!$AM$3)),DATE(2025,MATCH(UPPER($Y$10), {"JAN","FEB","MAR","APR","MAY","JUN","JUL","AUG","SEP","OCT","NOV","DEC"}, 0),(DAY($D30))),INDIRECT(_xlfn.CONCAT("'Order Tracker'!S12:T",Data!$AM$3)))=0,"- -",SUMIF(INDIRECT(_xlfn.CONCAT("'Order Tracker'!E12:F",Data!$AM$3)),DATE(2025,MATCH(UPPER($Y$10), {"JAN","FEB","MAR","APR","MAY","JUN","JUL","AUG","SEP","OCT","NOV","DEC"}, 0),(DAY($D30))),INDIRECT(_xlfn.CONCAT("'Order Tracker'!S12:T",Data!$AM$3))))</f>
        <v>- -</v>
      </c>
      <c r="AA30" s="156">
        <f t="shared" ca="1" si="5"/>
        <v>0</v>
      </c>
      <c r="AB30" s="10"/>
      <c r="AC30" s="160" t="str">
        <f ca="1">IF(SUMIF(INDIRECT(_xlfn.CONCAT("'Order Tracker'!E12:F",Data!$AM$3)),DATE(2025,MATCH(UPPER($AC$10), {"JAN","FEB","MAR","APR","MAY","JUN","JUL","AUG","SEP","OCT","NOV","DEC"}, 0),(DAY($D30))),INDIRECT(_xlfn.CONCAT("'Order Tracker'!Q12:R",Data!$AM$3)))=0,"- -",SUMIF(INDIRECT(_xlfn.CONCAT("'Order Tracker'!E12:F",Data!$AM$3)),DATE(2025,MATCH(UPPER($AC$10), {"JAN","FEB","MAR","APR","MAY","JUN","JUL","AUG","SEP","OCT","NOV","DEC"}, 0),(DAY($D30))),INDIRECT(_xlfn.CONCAT("'Order Tracker'!Q12:R",Data!$AM$3))))</f>
        <v>- -</v>
      </c>
      <c r="AD30" s="160" t="str">
        <f ca="1">IF(SUMIF(INDIRECT(_xlfn.CONCAT("'Order Tracker'!E12:F",Data!$AM$3)),DATE(2025,MATCH(UPPER($AC$10), {"JAN","FEB","MAR","APR","MAY","JUN","JUL","AUG","SEP","OCT","NOV","DEC"}, 0),(DAY($D30))),INDIRECT(_xlfn.CONCAT("'Order Tracker'!S12:T",Data!$AM$3)))=0,"- -",SUMIF(INDIRECT(_xlfn.CONCAT("'Order Tracker'!E12:F",Data!$AM$3)),DATE(2025,MATCH(UPPER($AC$10), {"JAN","FEB","MAR","APR","MAY","JUN","JUL","AUG","SEP","OCT","NOV","DEC"}, 0),(DAY($D30))),INDIRECT(_xlfn.CONCAT("'Order Tracker'!S12:T",Data!$AM$3))))</f>
        <v>- -</v>
      </c>
      <c r="AE30" s="156">
        <f t="shared" ca="1" si="6"/>
        <v>0</v>
      </c>
      <c r="AF30" s="10"/>
      <c r="AG30" s="160" t="str">
        <f ca="1">IF(SUMIF(INDIRECT(_xlfn.CONCAT("'Order Tracker'!E12:F",Data!$AM$3)),DATE(2025,MATCH(UPPER($AG$10), {"JAN","FEB","MAR","APR","MAY","JUN","JUL","AUG","SEP","OCT","NOV","DEC"}, 0),(DAY($D30))),INDIRECT(_xlfn.CONCAT("'Order Tracker'!Q12:R",Data!$AM$3)))=0,"- -",SUMIF(INDIRECT(_xlfn.CONCAT("'Order Tracker'!E12:F",Data!$AM$3)),DATE(2025,MATCH(UPPER($AG$10), {"JAN","FEB","MAR","APR","MAY","JUN","JUL","AUG","SEP","OCT","NOV","DEC"}, 0),(DAY($D30))),INDIRECT(_xlfn.CONCAT("'Order Tracker'!Q12:R",Data!$AM$3))))</f>
        <v>- -</v>
      </c>
      <c r="AH30" s="160" t="str">
        <f ca="1">IF(SUMIF(INDIRECT(_xlfn.CONCAT("'Order Tracker'!E12:F",Data!$AM$3)),DATE(2025,MATCH(UPPER($AG$10), {"JAN","FEB","MAR","APR","MAY","JUN","JUL","AUG","SEP","OCT","NOV","DEC"}, 0),(DAY($D30))),INDIRECT(_xlfn.CONCAT("'Order Tracker'!S12:T",Data!$AM$3)))=0,"- -",SUMIF(INDIRECT(_xlfn.CONCAT("'Order Tracker'!E12:F",Data!$AM$3)),DATE(2025,MATCH(UPPER($AG$10), {"JAN","FEB","MAR","APR","MAY","JUN","JUL","AUG","SEP","OCT","NOV","DEC"}, 0),(DAY($D30))),INDIRECT(_xlfn.CONCAT("'Order Tracker'!S12:T",Data!$AM$3))))</f>
        <v>- -</v>
      </c>
      <c r="AI30" s="156">
        <f t="shared" ca="1" si="7"/>
        <v>0</v>
      </c>
      <c r="AJ30" s="10"/>
      <c r="AK30" s="160" t="str">
        <f ca="1">IF(SUMIF(INDIRECT(_xlfn.CONCAT("'Order Tracker'!E12:F",Data!$AM$3)),DATE(2025,MATCH(UPPER($AK$10), {"JAN","FEB","MAR","APR","MAY","JUN","JUL","AUG","SEP","OCT","NOV","DEC"}, 0),(DAY($D30))),INDIRECT(_xlfn.CONCAT("'Order Tracker'!Q12:R",Data!$AM$3)))=0,"- -",SUMIF(INDIRECT(_xlfn.CONCAT("'Order Tracker'!E12:F",Data!$AM$3)),DATE(2025,MATCH(UPPER($AK$10), {"JAN","FEB","MAR","APR","MAY","JUN","JUL","AUG","SEP","OCT","NOV","DEC"}, 0),(DAY($D30))),INDIRECT(_xlfn.CONCAT("'Order Tracker'!Q12:R",Data!$AM$3))))</f>
        <v>- -</v>
      </c>
      <c r="AL30" s="160" t="str">
        <f ca="1">IF(SUMIF(INDIRECT(_xlfn.CONCAT("'Order Tracker'!E12:F",Data!$AM$3)),DATE(2025,MATCH(UPPER($AK$10), {"JAN","FEB","MAR","APR","MAY","JUN","JUL","AUG","SEP","OCT","NOV","DEC"}, 0),(DAY($D30))),INDIRECT(_xlfn.CONCAT("'Order Tracker'!S12:T",Data!$AM$3)))=0,"- -",SUMIF(INDIRECT(_xlfn.CONCAT("'Order Tracker'!E12:F",Data!$AM$3)),DATE(2025,MATCH(UPPER($AK$10), {"JAN","FEB","MAR","APR","MAY","JUN","JUL","AUG","SEP","OCT","NOV","DEC"}, 0),(DAY($D30))),INDIRECT(_xlfn.CONCAT("'Order Tracker'!S12:T",Data!$AM$3))))</f>
        <v>- -</v>
      </c>
      <c r="AM30" s="156">
        <f t="shared" ca="1" si="8"/>
        <v>0</v>
      </c>
      <c r="AN30" s="10"/>
      <c r="AO30" s="160" t="str">
        <f ca="1">IF(SUMIF(INDIRECT(_xlfn.CONCAT("'Order Tracker'!E12:F",Data!$AM$3)),DATE(2025,MATCH(UPPER($AO$10), {"JAN","FEB","MAR","APR","MAY","JUN","JUL","AUG","SEP","OCT","NOV","DEC"}, 0),(DAY($D30))),INDIRECT(_xlfn.CONCAT("'Order Tracker'!Q12:R",Data!$AM$3)))=0,"- -",SUMIF(INDIRECT(_xlfn.CONCAT("'Order Tracker'!E12:F",Data!$AM$3)),DATE(2025,MATCH(UPPER($AO$10), {"JAN","FEB","MAR","APR","MAY","JUN","JUL","AUG","SEP","OCT","NOV","DEC"}, 0),(DAY($D30))),INDIRECT(_xlfn.CONCAT("'Order Tracker'!Q12:R",Data!$AM$3))))</f>
        <v>- -</v>
      </c>
      <c r="AP30" s="160" t="str">
        <f ca="1">IF(SUMIF(INDIRECT(_xlfn.CONCAT("'Order Tracker'!E12:F",Data!$AM$3)),DATE(2025,MATCH(UPPER($AO$10), {"JAN","FEB","MAR","APR","MAY","JUN","JUL","AUG","SEP","OCT","NOV","DEC"}, 0),(DAY($D30))),INDIRECT(_xlfn.CONCAT("'Order Tracker'!S12:T",Data!$AM$3)))=0,"- -",SUMIF(INDIRECT(_xlfn.CONCAT("'Order Tracker'!E12:F",Data!$AM$3)),DATE(2025,MATCH(UPPER($AO$10), {"JAN","FEB","MAR","APR","MAY","JUN","JUL","AUG","SEP","OCT","NOV","DEC"}, 0),(DAY($D30))),INDIRECT(_xlfn.CONCAT("'Order Tracker'!S12:T",Data!$AM$3))))</f>
        <v>- -</v>
      </c>
      <c r="AQ30" s="156">
        <f t="shared" ca="1" si="9"/>
        <v>0</v>
      </c>
      <c r="AR30" s="10"/>
      <c r="AS30" s="160" t="str">
        <f ca="1">IF(SUMIF(INDIRECT(_xlfn.CONCAT("'Order Tracker'!E12:F",Data!$AM$3)),DATE(2025,MATCH(UPPER($AS$10), {"JAN","FEB","MAR","APR","MAY","JUN","JUL","AUG","SEP","OCT","NOV","DEC"}, 0),(DAY($D30))),INDIRECT(_xlfn.CONCAT("'Order Tracker'!Q12:R",Data!$AM$3)))=0,"- -",SUMIF(INDIRECT(_xlfn.CONCAT("'Order Tracker'!E12:F",Data!$AM$3)),DATE(2025,MATCH(UPPER($AS$10), {"JAN","FEB","MAR","APR","MAY","JUN","JUL","AUG","SEP","OCT","NOV","DEC"}, 0),(DAY($D30))),INDIRECT(_xlfn.CONCAT("'Order Tracker'!Q12:R",Data!$AM$3))))</f>
        <v>- -</v>
      </c>
      <c r="AT30" s="160" t="str">
        <f ca="1">IF(SUMIF(INDIRECT(_xlfn.CONCAT("'Order Tracker'!E12:F",Data!$AM$3)),DATE(2025,MATCH(UPPER($AS$10), {"JAN","FEB","MAR","APR","MAY","JUN","JUL","AUG","SEP","OCT","NOV","DEC"}, 0),(DAY($D30))),INDIRECT(_xlfn.CONCAT("'Order Tracker'!S12:T",Data!$AM$3)))=0,"- -",SUMIF(INDIRECT(_xlfn.CONCAT("'Order Tracker'!E12:F",Data!$AM$3)),DATE(2025,MATCH(UPPER($AS$10), {"JAN","FEB","MAR","APR","MAY","JUN","JUL","AUG","SEP","OCT","NOV","DEC"}, 0),(DAY($D30))),INDIRECT(_xlfn.CONCAT("'Order Tracker'!S12:T",Data!$AM$3))))</f>
        <v>- -</v>
      </c>
      <c r="AU30" s="156">
        <f t="shared" ca="1" si="10"/>
        <v>0</v>
      </c>
      <c r="AV30" s="7"/>
      <c r="AW30" s="160" t="str">
        <f ca="1">IF(SUMIF(INDIRECT(_xlfn.CONCAT("'Order Tracker'!E12:F",Data!$AM$3)),DATE(2025,MATCH(UPPER($AW$10), {"JAN","FEB","MAR","APR","MAY","JUN","JUL","AUG","SEP","OCT","NOV","DEC"}, 0),(DAY($D30))),INDIRECT(_xlfn.CONCAT("'Order Tracker'!Q12:R",Data!$AM$3)))=0,"- -",SUMIF(INDIRECT(_xlfn.CONCAT("'Order Tracker'!E12:F",Data!$AM$3)),DATE(2025,MATCH(UPPER($AW$10), {"JAN","FEB","MAR","APR","MAY","JUN","JUL","AUG","SEP","OCT","NOV","DEC"}, 0),(DAY($D30))),INDIRECT(_xlfn.CONCAT("'Order Tracker'!Q12:R",Data!$AM$3))))</f>
        <v>- -</v>
      </c>
      <c r="AX30" s="160" t="str">
        <f ca="1">IF(SUMIF(INDIRECT(_xlfn.CONCAT("'Order Tracker'!E12:F",Data!$AM$3)),DATE(2025,MATCH(UPPER($AW$10), {"JAN","FEB","MAR","APR","MAY","JUN","JUL","AUG","SEP","OCT","NOV","DEC"}, 0),(DAY($D30))),INDIRECT(_xlfn.CONCAT("'Order Tracker'!S12:T",Data!$AM$3)))=0,"- -",SUMIF(INDIRECT(_xlfn.CONCAT("'Order Tracker'!E12:F",Data!$AM$3)),DATE(2025,MATCH(UPPER($AW$10), {"JAN","FEB","MAR","APR","MAY","JUN","JUL","AUG","SEP","OCT","NOV","DEC"}, 0),(DAY($D30))),INDIRECT(_xlfn.CONCAT("'Order Tracker'!S12:T",Data!$AM$3))))</f>
        <v>- -</v>
      </c>
      <c r="AY30" s="156">
        <f t="shared" ca="1" si="11"/>
        <v>0</v>
      </c>
      <c r="AZ30" s="109"/>
    </row>
    <row r="31" spans="4:52" ht="18" hidden="1" x14ac:dyDescent="0.2">
      <c r="D31" s="151">
        <v>18</v>
      </c>
      <c r="E31" s="160" t="str">
        <f ca="1">IF(SUMIF(INDIRECT(_xlfn.CONCAT("'Order Tracker'!E12:F",Data!$AM$3)),DATE(2025,MATCH(UPPER($E$10), {"JAN","FEB","MAR","APR","MAY","JUN","JUL","AUG","SEP","OCT","NOV","DEC"}, 0),(DAY($D31))),INDIRECT(_xlfn.CONCAT("'Order Tracker'!Q12:R",Data!$AM$3)))=0,"- -",SUMIF(INDIRECT(_xlfn.CONCAT("'Order Tracker'!E12:F",Data!$AM$3)),DATE(2025,MATCH(UPPER($E$10), {"JAN","FEB","MAR","APR","MAY","JUN","JUL","AUG","SEP","OCT","NOV","DEC"}, 0),(DAY($D31))),INDIRECT(_xlfn.CONCAT("'Order Tracker'!Q12:R",Data!$AM$3))))</f>
        <v>- -</v>
      </c>
      <c r="F31" s="160" t="str">
        <f ca="1">IF(SUMIF(INDIRECT(_xlfn.CONCAT("'Order Tracker'!E12:F",Data!$AM$3)),DATE(2025,MATCH(UPPER($E$10), {"JAN","FEB","MAR","APR","MAY","JUN","JUL","AUG","SEP","OCT","NOV","DEC"}, 0),(DAY($D31))),INDIRECT(_xlfn.CONCAT("'Order Tracker'!S12:T",Data!$AM$3)))=0,"- -",SUMIF(INDIRECT(_xlfn.CONCAT("'Order Tracker'!E12:F",Data!$AM$3)),DATE(2025,MATCH(UPPER($E$10), {"JAN","FEB","MAR","APR","MAY","JUN","JUL","AUG","SEP","OCT","NOV","DEC"}, 0),(DAY($D31))),INDIRECT(_xlfn.CONCAT("'Order Tracker'!S12:T",Data!$AM$3))))</f>
        <v>- -</v>
      </c>
      <c r="G31" s="156">
        <f t="shared" ca="1" si="0"/>
        <v>0</v>
      </c>
      <c r="H31" s="10"/>
      <c r="I31" s="160" t="str">
        <f ca="1">IF(SUMIF(INDIRECT(_xlfn.CONCAT("'Order Tracker'!E12:F",Data!$AM$3)),DATE(2025,MATCH(UPPER($I$10), {"JAN","FEB","MAR","APR","MAY","JUN","JUL","AUG","SEP","OCT","NOV","DEC"}, 0),(DAY($D31))),INDIRECT(_xlfn.CONCAT("'Order Tracker'!Q12:R",Data!$AM$3)))=0,"- -",SUMIF(INDIRECT(_xlfn.CONCAT("'Order Tracker'!E12:F",Data!$AM$3)),DATE(2025,MATCH(UPPER($I$10), {"JAN","FEB","MAR","APR","MAY","JUN","JUL","AUG","SEP","OCT","NOV","DEC"}, 0),(DAY($D31))),INDIRECT(_xlfn.CONCAT("'Order Tracker'!Q12:R",Data!$AM$3))))</f>
        <v>- -</v>
      </c>
      <c r="J31" s="160" t="str">
        <f ca="1">IF(SUMIF(INDIRECT(_xlfn.CONCAT("'Order Tracker'!E12:F",Data!$AM$3)),DATE(2025,MATCH(UPPER($I$10), {"JAN","FEB","MAR","APR","MAY","JUN","JUL","AUG","SEP","OCT","NOV","DEC"}, 0),(DAY($D31))),INDIRECT(_xlfn.CONCAT("'Order Tracker'!S12:T",Data!$AM$3)))=0,"- -",SUMIF(INDIRECT(_xlfn.CONCAT("'Order Tracker'!E12:F",Data!$AM$3)),DATE(2025,MATCH(UPPER($I$10), {"JAN","FEB","MAR","APR","MAY","JUN","JUL","AUG","SEP","OCT","NOV","DEC"}, 0),(DAY($D31))),INDIRECT(_xlfn.CONCAT("'Order Tracker'!S12:T",Data!$AM$3))))</f>
        <v>- -</v>
      </c>
      <c r="K31" s="156">
        <f t="shared" ca="1" si="1"/>
        <v>0</v>
      </c>
      <c r="L31" s="10"/>
      <c r="M31" s="160" t="str">
        <f ca="1">IF(SUMIF(INDIRECT(_xlfn.CONCAT("'Order Tracker'!E12:F",Data!$AM$3)),DATE(2025,MATCH(UPPER($M$10), {"JAN","FEB","MAR","APR","MAY","JUN","JUL","AUG","SEP","OCT","NOV","DEC"}, 0),(DAY($D31))),INDIRECT(_xlfn.CONCAT("'Order Tracker'!Q12:R",Data!$AM$3)))=0,"- -",SUMIF(INDIRECT(_xlfn.CONCAT("'Order Tracker'!E12:F",Data!$AM$3)),DATE(2025,MATCH(UPPER($M$10), {"JAN","FEB","MAR","APR","MAY","JUN","JUL","AUG","SEP","OCT","NOV","DEC"}, 0),(DAY($D31))),INDIRECT(_xlfn.CONCAT("'Order Tracker'!Q12:R",Data!$AM$3))))</f>
        <v>- -</v>
      </c>
      <c r="N31" s="160" t="str">
        <f ca="1">IF(SUMIF(INDIRECT(_xlfn.CONCAT("'Order Tracker'!E12:F",Data!$AM$3)),DATE(2025,MATCH(UPPER($M$10), {"JAN","FEB","MAR","APR","MAY","JUN","JUL","AUG","SEP","OCT","NOV","DEC"}, 0),(DAY($D31))),INDIRECT(_xlfn.CONCAT("'Order Tracker'!S12:T",Data!$AM$3)))=0,"- -",SUMIF(INDIRECT(_xlfn.CONCAT("'Order Tracker'!E12:F",Data!$AM$3)),DATE(2025,MATCH(UPPER($M$10), {"JAN","FEB","MAR","APR","MAY","JUN","JUL","AUG","SEP","OCT","NOV","DEC"}, 0),(DAY($D31))),INDIRECT(_xlfn.CONCAT("'Order Tracker'!S12:T",Data!$AM$3))))</f>
        <v>- -</v>
      </c>
      <c r="O31" s="156">
        <f t="shared" ca="1" si="2"/>
        <v>0</v>
      </c>
      <c r="P31" s="10"/>
      <c r="Q31" s="160" t="str">
        <f ca="1">IF(SUMIF(INDIRECT(_xlfn.CONCAT("'Order Tracker'!E12:F",Data!$AM$3)),DATE(2025,MATCH(UPPER($Q$10), {"JAN","FEB","MAR","APR","MAY","JUN","JUL","AUG","SEP","OCT","NOV","DEC"}, 0),(DAY($D31))),INDIRECT(_xlfn.CONCAT("'Order Tracker'!Q12:R",Data!$AM$3)))=0,"- -",SUMIF(INDIRECT(_xlfn.CONCAT("'Order Tracker'!E12:F",Data!$AM$3)),DATE(2025,MATCH(UPPER($Q$10), {"JAN","FEB","MAR","APR","MAY","JUN","JUL","AUG","SEP","OCT","NOV","DEC"}, 0),(DAY($D31))),INDIRECT(_xlfn.CONCAT("'Order Tracker'!Q12:R",Data!$AM$3))))</f>
        <v>- -</v>
      </c>
      <c r="R31" s="160" t="str">
        <f ca="1">IF(SUMIF(INDIRECT(_xlfn.CONCAT("'Order Tracker'!E12:F",Data!$AM$3)),DATE(2025,MATCH(UPPER($Q$10), {"JAN","FEB","MAR","APR","MAY","JUN","JUL","AUG","SEP","OCT","NOV","DEC"}, 0),(DAY($D31))),INDIRECT(_xlfn.CONCAT("'Order Tracker'!S12:T",Data!$AM$3)))=0,"- -",SUMIF(INDIRECT(_xlfn.CONCAT("'Order Tracker'!E12:F",Data!$AM$3)),DATE(2025,MATCH(UPPER($Q$10), {"JAN","FEB","MAR","APR","MAY","JUN","JUL","AUG","SEP","OCT","NOV","DEC"}, 0),(DAY($D31))),INDIRECT(_xlfn.CONCAT("'Order Tracker'!S12:T",Data!$AM$3))))</f>
        <v>- -</v>
      </c>
      <c r="S31" s="156">
        <f t="shared" ca="1" si="3"/>
        <v>0</v>
      </c>
      <c r="T31" s="10"/>
      <c r="U31" s="160" t="str">
        <f ca="1">IF(SUMIF(INDIRECT(_xlfn.CONCAT("'Order Tracker'!E12:F",Data!$AM$3)),DATE(2025,MATCH(UPPER($U$10), {"JAN","FEB","MAR","APR","MAY","JUN","JUL","AUG","SEP","OCT","NOV","DEC"}, 0),(DAY($D31))),INDIRECT(_xlfn.CONCAT("'Order Tracker'!Q12:R",Data!$AM$3)))=0,"- -",SUMIF(INDIRECT(_xlfn.CONCAT("'Order Tracker'!E12:F",Data!$AM$3)),DATE(2025,MATCH(UPPER($U$10), {"JAN","FEB","MAR","APR","MAY","JUN","JUL","AUG","SEP","OCT","NOV","DEC"}, 0),(DAY($D31))),INDIRECT(_xlfn.CONCAT("'Order Tracker'!Q12:R",Data!$AM$3))))</f>
        <v>- -</v>
      </c>
      <c r="V31" s="160" t="str">
        <f ca="1">IF(SUMIF(INDIRECT(_xlfn.CONCAT("'Order Tracker'!E12:F",Data!$AM$3)),DATE(2025,MATCH(UPPER($U$10), {"JAN","FEB","MAR","APR","MAY","JUN","JUL","AUG","SEP","OCT","NOV","DEC"}, 0),(DAY($D31))),INDIRECT(_xlfn.CONCAT("'Order Tracker'!S12:T",Data!$AM$3)))=0,"- -",SUMIF(INDIRECT(_xlfn.CONCAT("'Order Tracker'!E12:F",Data!$AM$3)),DATE(2025,MATCH(UPPER($U$10), {"JAN","FEB","MAR","APR","MAY","JUN","JUL","AUG","SEP","OCT","NOV","DEC"}, 0),(DAY($D31))),INDIRECT(_xlfn.CONCAT("'Order Tracker'!S12:T",Data!$AM$3))))</f>
        <v>- -</v>
      </c>
      <c r="W31" s="156">
        <f t="shared" ca="1" si="4"/>
        <v>0</v>
      </c>
      <c r="X31" s="10"/>
      <c r="Y31" s="160" t="str">
        <f ca="1">IF(SUMIF(INDIRECT(_xlfn.CONCAT("'Order Tracker'!E12:F",Data!$AM$3)),DATE(2025,MATCH(UPPER($Y$10), {"JAN","FEB","MAR","APR","MAY","JUN","JUL","AUG","SEP","OCT","NOV","DEC"}, 0),(DAY($D31))),INDIRECT(_xlfn.CONCAT("'Order Tracker'!Q12:R",Data!$AM$3)))=0,"- -",SUMIF(INDIRECT(_xlfn.CONCAT("'Order Tracker'!E12:F",Data!$AM$3)),DATE(2025,MATCH(UPPER($Y$10), {"JAN","FEB","MAR","APR","MAY","JUN","JUL","AUG","SEP","OCT","NOV","DEC"}, 0),(DAY($D31))),INDIRECT(_xlfn.CONCAT("'Order Tracker'!Q12:R",Data!$AM$3))))</f>
        <v>- -</v>
      </c>
      <c r="Z31" s="160" t="str">
        <f ca="1">IF(SUMIF(INDIRECT(_xlfn.CONCAT("'Order Tracker'!E12:F",Data!$AM$3)),DATE(2025,MATCH(UPPER($Y$10), {"JAN","FEB","MAR","APR","MAY","JUN","JUL","AUG","SEP","OCT","NOV","DEC"}, 0),(DAY($D31))),INDIRECT(_xlfn.CONCAT("'Order Tracker'!S12:T",Data!$AM$3)))=0,"- -",SUMIF(INDIRECT(_xlfn.CONCAT("'Order Tracker'!E12:F",Data!$AM$3)),DATE(2025,MATCH(UPPER($Y$10), {"JAN","FEB","MAR","APR","MAY","JUN","JUL","AUG","SEP","OCT","NOV","DEC"}, 0),(DAY($D31))),INDIRECT(_xlfn.CONCAT("'Order Tracker'!S12:T",Data!$AM$3))))</f>
        <v>- -</v>
      </c>
      <c r="AA31" s="156">
        <f t="shared" ca="1" si="5"/>
        <v>0</v>
      </c>
      <c r="AB31" s="10"/>
      <c r="AC31" s="160" t="str">
        <f ca="1">IF(SUMIF(INDIRECT(_xlfn.CONCAT("'Order Tracker'!E12:F",Data!$AM$3)),DATE(2025,MATCH(UPPER($AC$10), {"JAN","FEB","MAR","APR","MAY","JUN","JUL","AUG","SEP","OCT","NOV","DEC"}, 0),(DAY($D31))),INDIRECT(_xlfn.CONCAT("'Order Tracker'!Q12:R",Data!$AM$3)))=0,"- -",SUMIF(INDIRECT(_xlfn.CONCAT("'Order Tracker'!E12:F",Data!$AM$3)),DATE(2025,MATCH(UPPER($AC$10), {"JAN","FEB","MAR","APR","MAY","JUN","JUL","AUG","SEP","OCT","NOV","DEC"}, 0),(DAY($D31))),INDIRECT(_xlfn.CONCAT("'Order Tracker'!Q12:R",Data!$AM$3))))</f>
        <v>- -</v>
      </c>
      <c r="AD31" s="160" t="str">
        <f ca="1">IF(SUMIF(INDIRECT(_xlfn.CONCAT("'Order Tracker'!E12:F",Data!$AM$3)),DATE(2025,MATCH(UPPER($AC$10), {"JAN","FEB","MAR","APR","MAY","JUN","JUL","AUG","SEP","OCT","NOV","DEC"}, 0),(DAY($D31))),INDIRECT(_xlfn.CONCAT("'Order Tracker'!S12:T",Data!$AM$3)))=0,"- -",SUMIF(INDIRECT(_xlfn.CONCAT("'Order Tracker'!E12:F",Data!$AM$3)),DATE(2025,MATCH(UPPER($AC$10), {"JAN","FEB","MAR","APR","MAY","JUN","JUL","AUG","SEP","OCT","NOV","DEC"}, 0),(DAY($D31))),INDIRECT(_xlfn.CONCAT("'Order Tracker'!S12:T",Data!$AM$3))))</f>
        <v>- -</v>
      </c>
      <c r="AE31" s="156">
        <f t="shared" ca="1" si="6"/>
        <v>0</v>
      </c>
      <c r="AF31" s="10"/>
      <c r="AG31" s="160" t="str">
        <f ca="1">IF(SUMIF(INDIRECT(_xlfn.CONCAT("'Order Tracker'!E12:F",Data!$AM$3)),DATE(2025,MATCH(UPPER($AG$10), {"JAN","FEB","MAR","APR","MAY","JUN","JUL","AUG","SEP","OCT","NOV","DEC"}, 0),(DAY($D31))),INDIRECT(_xlfn.CONCAT("'Order Tracker'!Q12:R",Data!$AM$3)))=0,"- -",SUMIF(INDIRECT(_xlfn.CONCAT("'Order Tracker'!E12:F",Data!$AM$3)),DATE(2025,MATCH(UPPER($AG$10), {"JAN","FEB","MAR","APR","MAY","JUN","JUL","AUG","SEP","OCT","NOV","DEC"}, 0),(DAY($D31))),INDIRECT(_xlfn.CONCAT("'Order Tracker'!Q12:R",Data!$AM$3))))</f>
        <v>- -</v>
      </c>
      <c r="AH31" s="160" t="str">
        <f ca="1">IF(SUMIF(INDIRECT(_xlfn.CONCAT("'Order Tracker'!E12:F",Data!$AM$3)),DATE(2025,MATCH(UPPER($AG$10), {"JAN","FEB","MAR","APR","MAY","JUN","JUL","AUG","SEP","OCT","NOV","DEC"}, 0),(DAY($D31))),INDIRECT(_xlfn.CONCAT("'Order Tracker'!S12:T",Data!$AM$3)))=0,"- -",SUMIF(INDIRECT(_xlfn.CONCAT("'Order Tracker'!E12:F",Data!$AM$3)),DATE(2025,MATCH(UPPER($AG$10), {"JAN","FEB","MAR","APR","MAY","JUN","JUL","AUG","SEP","OCT","NOV","DEC"}, 0),(DAY($D31))),INDIRECT(_xlfn.CONCAT("'Order Tracker'!S12:T",Data!$AM$3))))</f>
        <v>- -</v>
      </c>
      <c r="AI31" s="156">
        <f t="shared" ca="1" si="7"/>
        <v>0</v>
      </c>
      <c r="AJ31" s="10"/>
      <c r="AK31" s="160" t="str">
        <f ca="1">IF(SUMIF(INDIRECT(_xlfn.CONCAT("'Order Tracker'!E12:F",Data!$AM$3)),DATE(2025,MATCH(UPPER($AK$10), {"JAN","FEB","MAR","APR","MAY","JUN","JUL","AUG","SEP","OCT","NOV","DEC"}, 0),(DAY($D31))),INDIRECT(_xlfn.CONCAT("'Order Tracker'!Q12:R",Data!$AM$3)))=0,"- -",SUMIF(INDIRECT(_xlfn.CONCAT("'Order Tracker'!E12:F",Data!$AM$3)),DATE(2025,MATCH(UPPER($AK$10), {"JAN","FEB","MAR","APR","MAY","JUN","JUL","AUG","SEP","OCT","NOV","DEC"}, 0),(DAY($D31))),INDIRECT(_xlfn.CONCAT("'Order Tracker'!Q12:R",Data!$AM$3))))</f>
        <v>- -</v>
      </c>
      <c r="AL31" s="160" t="str">
        <f ca="1">IF(SUMIF(INDIRECT(_xlfn.CONCAT("'Order Tracker'!E12:F",Data!$AM$3)),DATE(2025,MATCH(UPPER($AK$10), {"JAN","FEB","MAR","APR","MAY","JUN","JUL","AUG","SEP","OCT","NOV","DEC"}, 0),(DAY($D31))),INDIRECT(_xlfn.CONCAT("'Order Tracker'!S12:T",Data!$AM$3)))=0,"- -",SUMIF(INDIRECT(_xlfn.CONCAT("'Order Tracker'!E12:F",Data!$AM$3)),DATE(2025,MATCH(UPPER($AK$10), {"JAN","FEB","MAR","APR","MAY","JUN","JUL","AUG","SEP","OCT","NOV","DEC"}, 0),(DAY($D31))),INDIRECT(_xlfn.CONCAT("'Order Tracker'!S12:T",Data!$AM$3))))</f>
        <v>- -</v>
      </c>
      <c r="AM31" s="156">
        <f t="shared" ca="1" si="8"/>
        <v>0</v>
      </c>
      <c r="AN31" s="10"/>
      <c r="AO31" s="160" t="str">
        <f ca="1">IF(SUMIF(INDIRECT(_xlfn.CONCAT("'Order Tracker'!E12:F",Data!$AM$3)),DATE(2025,MATCH(UPPER($AO$10), {"JAN","FEB","MAR","APR","MAY","JUN","JUL","AUG","SEP","OCT","NOV","DEC"}, 0),(DAY($D31))),INDIRECT(_xlfn.CONCAT("'Order Tracker'!Q12:R",Data!$AM$3)))=0,"- -",SUMIF(INDIRECT(_xlfn.CONCAT("'Order Tracker'!E12:F",Data!$AM$3)),DATE(2025,MATCH(UPPER($AO$10), {"JAN","FEB","MAR","APR","MAY","JUN","JUL","AUG","SEP","OCT","NOV","DEC"}, 0),(DAY($D31))),INDIRECT(_xlfn.CONCAT("'Order Tracker'!Q12:R",Data!$AM$3))))</f>
        <v>- -</v>
      </c>
      <c r="AP31" s="160" t="str">
        <f ca="1">IF(SUMIF(INDIRECT(_xlfn.CONCAT("'Order Tracker'!E12:F",Data!$AM$3)),DATE(2025,MATCH(UPPER($AO$10), {"JAN","FEB","MAR","APR","MAY","JUN","JUL","AUG","SEP","OCT","NOV","DEC"}, 0),(DAY($D31))),INDIRECT(_xlfn.CONCAT("'Order Tracker'!S12:T",Data!$AM$3)))=0,"- -",SUMIF(INDIRECT(_xlfn.CONCAT("'Order Tracker'!E12:F",Data!$AM$3)),DATE(2025,MATCH(UPPER($AO$10), {"JAN","FEB","MAR","APR","MAY","JUN","JUL","AUG","SEP","OCT","NOV","DEC"}, 0),(DAY($D31))),INDIRECT(_xlfn.CONCAT("'Order Tracker'!S12:T",Data!$AM$3))))</f>
        <v>- -</v>
      </c>
      <c r="AQ31" s="156">
        <f t="shared" ca="1" si="9"/>
        <v>0</v>
      </c>
      <c r="AR31" s="10"/>
      <c r="AS31" s="160" t="str">
        <f ca="1">IF(SUMIF(INDIRECT(_xlfn.CONCAT("'Order Tracker'!E12:F",Data!$AM$3)),DATE(2025,MATCH(UPPER($AS$10), {"JAN","FEB","MAR","APR","MAY","JUN","JUL","AUG","SEP","OCT","NOV","DEC"}, 0),(DAY($D31))),INDIRECT(_xlfn.CONCAT("'Order Tracker'!Q12:R",Data!$AM$3)))=0,"- -",SUMIF(INDIRECT(_xlfn.CONCAT("'Order Tracker'!E12:F",Data!$AM$3)),DATE(2025,MATCH(UPPER($AS$10), {"JAN","FEB","MAR","APR","MAY","JUN","JUL","AUG","SEP","OCT","NOV","DEC"}, 0),(DAY($D31))),INDIRECT(_xlfn.CONCAT("'Order Tracker'!Q12:R",Data!$AM$3))))</f>
        <v>- -</v>
      </c>
      <c r="AT31" s="160" t="str">
        <f ca="1">IF(SUMIF(INDIRECT(_xlfn.CONCAT("'Order Tracker'!E12:F",Data!$AM$3)),DATE(2025,MATCH(UPPER($AS$10), {"JAN","FEB","MAR","APR","MAY","JUN","JUL","AUG","SEP","OCT","NOV","DEC"}, 0),(DAY($D31))),INDIRECT(_xlfn.CONCAT("'Order Tracker'!S12:T",Data!$AM$3)))=0,"- -",SUMIF(INDIRECT(_xlfn.CONCAT("'Order Tracker'!E12:F",Data!$AM$3)),DATE(2025,MATCH(UPPER($AS$10), {"JAN","FEB","MAR","APR","MAY","JUN","JUL","AUG","SEP","OCT","NOV","DEC"}, 0),(DAY($D31))),INDIRECT(_xlfn.CONCAT("'Order Tracker'!S12:T",Data!$AM$3))))</f>
        <v>- -</v>
      </c>
      <c r="AU31" s="156">
        <f t="shared" ca="1" si="10"/>
        <v>0</v>
      </c>
      <c r="AV31" s="7"/>
      <c r="AW31" s="160" t="str">
        <f ca="1">IF(SUMIF(INDIRECT(_xlfn.CONCAT("'Order Tracker'!E12:F",Data!$AM$3)),DATE(2025,MATCH(UPPER($AW$10), {"JAN","FEB","MAR","APR","MAY","JUN","JUL","AUG","SEP","OCT","NOV","DEC"}, 0),(DAY($D31))),INDIRECT(_xlfn.CONCAT("'Order Tracker'!Q12:R",Data!$AM$3)))=0,"- -",SUMIF(INDIRECT(_xlfn.CONCAT("'Order Tracker'!E12:F",Data!$AM$3)),DATE(2025,MATCH(UPPER($AW$10), {"JAN","FEB","MAR","APR","MAY","JUN","JUL","AUG","SEP","OCT","NOV","DEC"}, 0),(DAY($D31))),INDIRECT(_xlfn.CONCAT("'Order Tracker'!Q12:R",Data!$AM$3))))</f>
        <v>- -</v>
      </c>
      <c r="AX31" s="160" t="str">
        <f ca="1">IF(SUMIF(INDIRECT(_xlfn.CONCAT("'Order Tracker'!E12:F",Data!$AM$3)),DATE(2025,MATCH(UPPER($AW$10), {"JAN","FEB","MAR","APR","MAY","JUN","JUL","AUG","SEP","OCT","NOV","DEC"}, 0),(DAY($D31))),INDIRECT(_xlfn.CONCAT("'Order Tracker'!S12:T",Data!$AM$3)))=0,"- -",SUMIF(INDIRECT(_xlfn.CONCAT("'Order Tracker'!E12:F",Data!$AM$3)),DATE(2025,MATCH(UPPER($AW$10), {"JAN","FEB","MAR","APR","MAY","JUN","JUL","AUG","SEP","OCT","NOV","DEC"}, 0),(DAY($D31))),INDIRECT(_xlfn.CONCAT("'Order Tracker'!S12:T",Data!$AM$3))))</f>
        <v>- -</v>
      </c>
      <c r="AY31" s="156">
        <f t="shared" ca="1" si="11"/>
        <v>0</v>
      </c>
      <c r="AZ31" s="109"/>
    </row>
    <row r="32" spans="4:52" ht="18" hidden="1" x14ac:dyDescent="0.2">
      <c r="D32" s="151">
        <v>19</v>
      </c>
      <c r="E32" s="160" t="str">
        <f ca="1">IF(SUMIF(INDIRECT(_xlfn.CONCAT("'Order Tracker'!E12:F",Data!$AM$3)),DATE(2025,MATCH(UPPER($E$10), {"JAN","FEB","MAR","APR","MAY","JUN","JUL","AUG","SEP","OCT","NOV","DEC"}, 0),(DAY($D32))),INDIRECT(_xlfn.CONCAT("'Order Tracker'!Q12:R",Data!$AM$3)))=0,"- -",SUMIF(INDIRECT(_xlfn.CONCAT("'Order Tracker'!E12:F",Data!$AM$3)),DATE(2025,MATCH(UPPER($E$10), {"JAN","FEB","MAR","APR","MAY","JUN","JUL","AUG","SEP","OCT","NOV","DEC"}, 0),(DAY($D32))),INDIRECT(_xlfn.CONCAT("'Order Tracker'!Q12:R",Data!$AM$3))))</f>
        <v>- -</v>
      </c>
      <c r="F32" s="160" t="str">
        <f ca="1">IF(SUMIF(INDIRECT(_xlfn.CONCAT("'Order Tracker'!E12:F",Data!$AM$3)),DATE(2025,MATCH(UPPER($E$10), {"JAN","FEB","MAR","APR","MAY","JUN","JUL","AUG","SEP","OCT","NOV","DEC"}, 0),(DAY($D32))),INDIRECT(_xlfn.CONCAT("'Order Tracker'!S12:T",Data!$AM$3)))=0,"- -",SUMIF(INDIRECT(_xlfn.CONCAT("'Order Tracker'!E12:F",Data!$AM$3)),DATE(2025,MATCH(UPPER($E$10), {"JAN","FEB","MAR","APR","MAY","JUN","JUL","AUG","SEP","OCT","NOV","DEC"}, 0),(DAY($D32))),INDIRECT(_xlfn.CONCAT("'Order Tracker'!S12:T",Data!$AM$3))))</f>
        <v>- -</v>
      </c>
      <c r="G32" s="156">
        <f t="shared" ca="1" si="0"/>
        <v>0</v>
      </c>
      <c r="H32" s="10"/>
      <c r="I32" s="160" t="str">
        <f ca="1">IF(SUMIF(INDIRECT(_xlfn.CONCAT("'Order Tracker'!E12:F",Data!$AM$3)),DATE(2025,MATCH(UPPER($I$10), {"JAN","FEB","MAR","APR","MAY","JUN","JUL","AUG","SEP","OCT","NOV","DEC"}, 0),(DAY($D32))),INDIRECT(_xlfn.CONCAT("'Order Tracker'!Q12:R",Data!$AM$3)))=0,"- -",SUMIF(INDIRECT(_xlfn.CONCAT("'Order Tracker'!E12:F",Data!$AM$3)),DATE(2025,MATCH(UPPER($I$10), {"JAN","FEB","MAR","APR","MAY","JUN","JUL","AUG","SEP","OCT","NOV","DEC"}, 0),(DAY($D32))),INDIRECT(_xlfn.CONCAT("'Order Tracker'!Q12:R",Data!$AM$3))))</f>
        <v>- -</v>
      </c>
      <c r="J32" s="160" t="str">
        <f ca="1">IF(SUMIF(INDIRECT(_xlfn.CONCAT("'Order Tracker'!E12:F",Data!$AM$3)),DATE(2025,MATCH(UPPER($I$10), {"JAN","FEB","MAR","APR","MAY","JUN","JUL","AUG","SEP","OCT","NOV","DEC"}, 0),(DAY($D32))),INDIRECT(_xlfn.CONCAT("'Order Tracker'!S12:T",Data!$AM$3)))=0,"- -",SUMIF(INDIRECT(_xlfn.CONCAT("'Order Tracker'!E12:F",Data!$AM$3)),DATE(2025,MATCH(UPPER($I$10), {"JAN","FEB","MAR","APR","MAY","JUN","JUL","AUG","SEP","OCT","NOV","DEC"}, 0),(DAY($D32))),INDIRECT(_xlfn.CONCAT("'Order Tracker'!S12:T",Data!$AM$3))))</f>
        <v>- -</v>
      </c>
      <c r="K32" s="156">
        <f t="shared" ca="1" si="1"/>
        <v>0</v>
      </c>
      <c r="L32" s="10"/>
      <c r="M32" s="160" t="str">
        <f ca="1">IF(SUMIF(INDIRECT(_xlfn.CONCAT("'Order Tracker'!E12:F",Data!$AM$3)),DATE(2025,MATCH(UPPER($M$10), {"JAN","FEB","MAR","APR","MAY","JUN","JUL","AUG","SEP","OCT","NOV","DEC"}, 0),(DAY($D32))),INDIRECT(_xlfn.CONCAT("'Order Tracker'!Q12:R",Data!$AM$3)))=0,"- -",SUMIF(INDIRECT(_xlfn.CONCAT("'Order Tracker'!E12:F",Data!$AM$3)),DATE(2025,MATCH(UPPER($M$10), {"JAN","FEB","MAR","APR","MAY","JUN","JUL","AUG","SEP","OCT","NOV","DEC"}, 0),(DAY($D32))),INDIRECT(_xlfn.CONCAT("'Order Tracker'!Q12:R",Data!$AM$3))))</f>
        <v>- -</v>
      </c>
      <c r="N32" s="160" t="str">
        <f ca="1">IF(SUMIF(INDIRECT(_xlfn.CONCAT("'Order Tracker'!E12:F",Data!$AM$3)),DATE(2025,MATCH(UPPER($M$10), {"JAN","FEB","MAR","APR","MAY","JUN","JUL","AUG","SEP","OCT","NOV","DEC"}, 0),(DAY($D32))),INDIRECT(_xlfn.CONCAT("'Order Tracker'!S12:T",Data!$AM$3)))=0,"- -",SUMIF(INDIRECT(_xlfn.CONCAT("'Order Tracker'!E12:F",Data!$AM$3)),DATE(2025,MATCH(UPPER($M$10), {"JAN","FEB","MAR","APR","MAY","JUN","JUL","AUG","SEP","OCT","NOV","DEC"}, 0),(DAY($D32))),INDIRECT(_xlfn.CONCAT("'Order Tracker'!S12:T",Data!$AM$3))))</f>
        <v>- -</v>
      </c>
      <c r="O32" s="156">
        <f t="shared" ca="1" si="2"/>
        <v>0</v>
      </c>
      <c r="P32" s="10"/>
      <c r="Q32" s="160" t="str">
        <f ca="1">IF(SUMIF(INDIRECT(_xlfn.CONCAT("'Order Tracker'!E12:F",Data!$AM$3)),DATE(2025,MATCH(UPPER($Q$10), {"JAN","FEB","MAR","APR","MAY","JUN","JUL","AUG","SEP","OCT","NOV","DEC"}, 0),(DAY($D32))),INDIRECT(_xlfn.CONCAT("'Order Tracker'!Q12:R",Data!$AM$3)))=0,"- -",SUMIF(INDIRECT(_xlfn.CONCAT("'Order Tracker'!E12:F",Data!$AM$3)),DATE(2025,MATCH(UPPER($Q$10), {"JAN","FEB","MAR","APR","MAY","JUN","JUL","AUG","SEP","OCT","NOV","DEC"}, 0),(DAY($D32))),INDIRECT(_xlfn.CONCAT("'Order Tracker'!Q12:R",Data!$AM$3))))</f>
        <v>- -</v>
      </c>
      <c r="R32" s="160" t="str">
        <f ca="1">IF(SUMIF(INDIRECT(_xlfn.CONCAT("'Order Tracker'!E12:F",Data!$AM$3)),DATE(2025,MATCH(UPPER($Q$10), {"JAN","FEB","MAR","APR","MAY","JUN","JUL","AUG","SEP","OCT","NOV","DEC"}, 0),(DAY($D32))),INDIRECT(_xlfn.CONCAT("'Order Tracker'!S12:T",Data!$AM$3)))=0,"- -",SUMIF(INDIRECT(_xlfn.CONCAT("'Order Tracker'!E12:F",Data!$AM$3)),DATE(2025,MATCH(UPPER($Q$10), {"JAN","FEB","MAR","APR","MAY","JUN","JUL","AUG","SEP","OCT","NOV","DEC"}, 0),(DAY($D32))),INDIRECT(_xlfn.CONCAT("'Order Tracker'!S12:T",Data!$AM$3))))</f>
        <v>- -</v>
      </c>
      <c r="S32" s="156">
        <f t="shared" ca="1" si="3"/>
        <v>0</v>
      </c>
      <c r="T32" s="10"/>
      <c r="U32" s="160" t="str">
        <f ca="1">IF(SUMIF(INDIRECT(_xlfn.CONCAT("'Order Tracker'!E12:F",Data!$AM$3)),DATE(2025,MATCH(UPPER($U$10), {"JAN","FEB","MAR","APR","MAY","JUN","JUL","AUG","SEP","OCT","NOV","DEC"}, 0),(DAY($D32))),INDIRECT(_xlfn.CONCAT("'Order Tracker'!Q12:R",Data!$AM$3)))=0,"- -",SUMIF(INDIRECT(_xlfn.CONCAT("'Order Tracker'!E12:F",Data!$AM$3)),DATE(2025,MATCH(UPPER($U$10), {"JAN","FEB","MAR","APR","MAY","JUN","JUL","AUG","SEP","OCT","NOV","DEC"}, 0),(DAY($D32))),INDIRECT(_xlfn.CONCAT("'Order Tracker'!Q12:R",Data!$AM$3))))</f>
        <v>- -</v>
      </c>
      <c r="V32" s="160" t="str">
        <f ca="1">IF(SUMIF(INDIRECT(_xlfn.CONCAT("'Order Tracker'!E12:F",Data!$AM$3)),DATE(2025,MATCH(UPPER($U$10), {"JAN","FEB","MAR","APR","MAY","JUN","JUL","AUG","SEP","OCT","NOV","DEC"}, 0),(DAY($D32))),INDIRECT(_xlfn.CONCAT("'Order Tracker'!S12:T",Data!$AM$3)))=0,"- -",SUMIF(INDIRECT(_xlfn.CONCAT("'Order Tracker'!E12:F",Data!$AM$3)),DATE(2025,MATCH(UPPER($U$10), {"JAN","FEB","MAR","APR","MAY","JUN","JUL","AUG","SEP","OCT","NOV","DEC"}, 0),(DAY($D32))),INDIRECT(_xlfn.CONCAT("'Order Tracker'!S12:T",Data!$AM$3))))</f>
        <v>- -</v>
      </c>
      <c r="W32" s="156">
        <f t="shared" ca="1" si="4"/>
        <v>0</v>
      </c>
      <c r="X32" s="10"/>
      <c r="Y32" s="160" t="str">
        <f ca="1">IF(SUMIF(INDIRECT(_xlfn.CONCAT("'Order Tracker'!E12:F",Data!$AM$3)),DATE(2025,MATCH(UPPER($Y$10), {"JAN","FEB","MAR","APR","MAY","JUN","JUL","AUG","SEP","OCT","NOV","DEC"}, 0),(DAY($D32))),INDIRECT(_xlfn.CONCAT("'Order Tracker'!Q12:R",Data!$AM$3)))=0,"- -",SUMIF(INDIRECT(_xlfn.CONCAT("'Order Tracker'!E12:F",Data!$AM$3)),DATE(2025,MATCH(UPPER($Y$10), {"JAN","FEB","MAR","APR","MAY","JUN","JUL","AUG","SEP","OCT","NOV","DEC"}, 0),(DAY($D32))),INDIRECT(_xlfn.CONCAT("'Order Tracker'!Q12:R",Data!$AM$3))))</f>
        <v>- -</v>
      </c>
      <c r="Z32" s="160" t="str">
        <f ca="1">IF(SUMIF(INDIRECT(_xlfn.CONCAT("'Order Tracker'!E12:F",Data!$AM$3)),DATE(2025,MATCH(UPPER($Y$10), {"JAN","FEB","MAR","APR","MAY","JUN","JUL","AUG","SEP","OCT","NOV","DEC"}, 0),(DAY($D32))),INDIRECT(_xlfn.CONCAT("'Order Tracker'!S12:T",Data!$AM$3)))=0,"- -",SUMIF(INDIRECT(_xlfn.CONCAT("'Order Tracker'!E12:F",Data!$AM$3)),DATE(2025,MATCH(UPPER($Y$10), {"JAN","FEB","MAR","APR","MAY","JUN","JUL","AUG","SEP","OCT","NOV","DEC"}, 0),(DAY($D32))),INDIRECT(_xlfn.CONCAT("'Order Tracker'!S12:T",Data!$AM$3))))</f>
        <v>- -</v>
      </c>
      <c r="AA32" s="156">
        <f t="shared" ca="1" si="5"/>
        <v>0</v>
      </c>
      <c r="AB32" s="10"/>
      <c r="AC32" s="160" t="str">
        <f ca="1">IF(SUMIF(INDIRECT(_xlfn.CONCAT("'Order Tracker'!E12:F",Data!$AM$3)),DATE(2025,MATCH(UPPER($AC$10), {"JAN","FEB","MAR","APR","MAY","JUN","JUL","AUG","SEP","OCT","NOV","DEC"}, 0),(DAY($D32))),INDIRECT(_xlfn.CONCAT("'Order Tracker'!Q12:R",Data!$AM$3)))=0,"- -",SUMIF(INDIRECT(_xlfn.CONCAT("'Order Tracker'!E12:F",Data!$AM$3)),DATE(2025,MATCH(UPPER($AC$10), {"JAN","FEB","MAR","APR","MAY","JUN","JUL","AUG","SEP","OCT","NOV","DEC"}, 0),(DAY($D32))),INDIRECT(_xlfn.CONCAT("'Order Tracker'!Q12:R",Data!$AM$3))))</f>
        <v>- -</v>
      </c>
      <c r="AD32" s="160" t="str">
        <f ca="1">IF(SUMIF(INDIRECT(_xlfn.CONCAT("'Order Tracker'!E12:F",Data!$AM$3)),DATE(2025,MATCH(UPPER($AC$10), {"JAN","FEB","MAR","APR","MAY","JUN","JUL","AUG","SEP","OCT","NOV","DEC"}, 0),(DAY($D32))),INDIRECT(_xlfn.CONCAT("'Order Tracker'!S12:T",Data!$AM$3)))=0,"- -",SUMIF(INDIRECT(_xlfn.CONCAT("'Order Tracker'!E12:F",Data!$AM$3)),DATE(2025,MATCH(UPPER($AC$10), {"JAN","FEB","MAR","APR","MAY","JUN","JUL","AUG","SEP","OCT","NOV","DEC"}, 0),(DAY($D32))),INDIRECT(_xlfn.CONCAT("'Order Tracker'!S12:T",Data!$AM$3))))</f>
        <v>- -</v>
      </c>
      <c r="AE32" s="156">
        <f t="shared" ca="1" si="6"/>
        <v>0</v>
      </c>
      <c r="AF32" s="10"/>
      <c r="AG32" s="160" t="str">
        <f ca="1">IF(SUMIF(INDIRECT(_xlfn.CONCAT("'Order Tracker'!E12:F",Data!$AM$3)),DATE(2025,MATCH(UPPER($AG$10), {"JAN","FEB","MAR","APR","MAY","JUN","JUL","AUG","SEP","OCT","NOV","DEC"}, 0),(DAY($D32))),INDIRECT(_xlfn.CONCAT("'Order Tracker'!Q12:R",Data!$AM$3)))=0,"- -",SUMIF(INDIRECT(_xlfn.CONCAT("'Order Tracker'!E12:F",Data!$AM$3)),DATE(2025,MATCH(UPPER($AG$10), {"JAN","FEB","MAR","APR","MAY","JUN","JUL","AUG","SEP","OCT","NOV","DEC"}, 0),(DAY($D32))),INDIRECT(_xlfn.CONCAT("'Order Tracker'!Q12:R",Data!$AM$3))))</f>
        <v>- -</v>
      </c>
      <c r="AH32" s="160" t="str">
        <f ca="1">IF(SUMIF(INDIRECT(_xlfn.CONCAT("'Order Tracker'!E12:F",Data!$AM$3)),DATE(2025,MATCH(UPPER($AG$10), {"JAN","FEB","MAR","APR","MAY","JUN","JUL","AUG","SEP","OCT","NOV","DEC"}, 0),(DAY($D32))),INDIRECT(_xlfn.CONCAT("'Order Tracker'!S12:T",Data!$AM$3)))=0,"- -",SUMIF(INDIRECT(_xlfn.CONCAT("'Order Tracker'!E12:F",Data!$AM$3)),DATE(2025,MATCH(UPPER($AG$10), {"JAN","FEB","MAR","APR","MAY","JUN","JUL","AUG","SEP","OCT","NOV","DEC"}, 0),(DAY($D32))),INDIRECT(_xlfn.CONCAT("'Order Tracker'!S12:T",Data!$AM$3))))</f>
        <v>- -</v>
      </c>
      <c r="AI32" s="156">
        <f t="shared" ca="1" si="7"/>
        <v>0</v>
      </c>
      <c r="AJ32" s="10"/>
      <c r="AK32" s="160" t="str">
        <f ca="1">IF(SUMIF(INDIRECT(_xlfn.CONCAT("'Order Tracker'!E12:F",Data!$AM$3)),DATE(2025,MATCH(UPPER($AK$10), {"JAN","FEB","MAR","APR","MAY","JUN","JUL","AUG","SEP","OCT","NOV","DEC"}, 0),(DAY($D32))),INDIRECT(_xlfn.CONCAT("'Order Tracker'!Q12:R",Data!$AM$3)))=0,"- -",SUMIF(INDIRECT(_xlfn.CONCAT("'Order Tracker'!E12:F",Data!$AM$3)),DATE(2025,MATCH(UPPER($AK$10), {"JAN","FEB","MAR","APR","MAY","JUN","JUL","AUG","SEP","OCT","NOV","DEC"}, 0),(DAY($D32))),INDIRECT(_xlfn.CONCAT("'Order Tracker'!Q12:R",Data!$AM$3))))</f>
        <v>- -</v>
      </c>
      <c r="AL32" s="160" t="str">
        <f ca="1">IF(SUMIF(INDIRECT(_xlfn.CONCAT("'Order Tracker'!E12:F",Data!$AM$3)),DATE(2025,MATCH(UPPER($AK$10), {"JAN","FEB","MAR","APR","MAY","JUN","JUL","AUG","SEP","OCT","NOV","DEC"}, 0),(DAY($D32))),INDIRECT(_xlfn.CONCAT("'Order Tracker'!S12:T",Data!$AM$3)))=0,"- -",SUMIF(INDIRECT(_xlfn.CONCAT("'Order Tracker'!E12:F",Data!$AM$3)),DATE(2025,MATCH(UPPER($AK$10), {"JAN","FEB","MAR","APR","MAY","JUN","JUL","AUG","SEP","OCT","NOV","DEC"}, 0),(DAY($D32))),INDIRECT(_xlfn.CONCAT("'Order Tracker'!S12:T",Data!$AM$3))))</f>
        <v>- -</v>
      </c>
      <c r="AM32" s="156">
        <f t="shared" ca="1" si="8"/>
        <v>0</v>
      </c>
      <c r="AN32" s="10"/>
      <c r="AO32" s="160" t="str">
        <f ca="1">IF(SUMIF(INDIRECT(_xlfn.CONCAT("'Order Tracker'!E12:F",Data!$AM$3)),DATE(2025,MATCH(UPPER($AO$10), {"JAN","FEB","MAR","APR","MAY","JUN","JUL","AUG","SEP","OCT","NOV","DEC"}, 0),(DAY($D32))),INDIRECT(_xlfn.CONCAT("'Order Tracker'!Q12:R",Data!$AM$3)))=0,"- -",SUMIF(INDIRECT(_xlfn.CONCAT("'Order Tracker'!E12:F",Data!$AM$3)),DATE(2025,MATCH(UPPER($AO$10), {"JAN","FEB","MAR","APR","MAY","JUN","JUL","AUG","SEP","OCT","NOV","DEC"}, 0),(DAY($D32))),INDIRECT(_xlfn.CONCAT("'Order Tracker'!Q12:R",Data!$AM$3))))</f>
        <v>- -</v>
      </c>
      <c r="AP32" s="160" t="str">
        <f ca="1">IF(SUMIF(INDIRECT(_xlfn.CONCAT("'Order Tracker'!E12:F",Data!$AM$3)),DATE(2025,MATCH(UPPER($AO$10), {"JAN","FEB","MAR","APR","MAY","JUN","JUL","AUG","SEP","OCT","NOV","DEC"}, 0),(DAY($D32))),INDIRECT(_xlfn.CONCAT("'Order Tracker'!S12:T",Data!$AM$3)))=0,"- -",SUMIF(INDIRECT(_xlfn.CONCAT("'Order Tracker'!E12:F",Data!$AM$3)),DATE(2025,MATCH(UPPER($AO$10), {"JAN","FEB","MAR","APR","MAY","JUN","JUL","AUG","SEP","OCT","NOV","DEC"}, 0),(DAY($D32))),INDIRECT(_xlfn.CONCAT("'Order Tracker'!S12:T",Data!$AM$3))))</f>
        <v>- -</v>
      </c>
      <c r="AQ32" s="156">
        <f t="shared" ca="1" si="9"/>
        <v>0</v>
      </c>
      <c r="AR32" s="10"/>
      <c r="AS32" s="160" t="str">
        <f ca="1">IF(SUMIF(INDIRECT(_xlfn.CONCAT("'Order Tracker'!E12:F",Data!$AM$3)),DATE(2025,MATCH(UPPER($AS$10), {"JAN","FEB","MAR","APR","MAY","JUN","JUL","AUG","SEP","OCT","NOV","DEC"}, 0),(DAY($D32))),INDIRECT(_xlfn.CONCAT("'Order Tracker'!Q12:R",Data!$AM$3)))=0,"- -",SUMIF(INDIRECT(_xlfn.CONCAT("'Order Tracker'!E12:F",Data!$AM$3)),DATE(2025,MATCH(UPPER($AS$10), {"JAN","FEB","MAR","APR","MAY","JUN","JUL","AUG","SEP","OCT","NOV","DEC"}, 0),(DAY($D32))),INDIRECT(_xlfn.CONCAT("'Order Tracker'!Q12:R",Data!$AM$3))))</f>
        <v>- -</v>
      </c>
      <c r="AT32" s="160" t="str">
        <f ca="1">IF(SUMIF(INDIRECT(_xlfn.CONCAT("'Order Tracker'!E12:F",Data!$AM$3)),DATE(2025,MATCH(UPPER($AS$10), {"JAN","FEB","MAR","APR","MAY","JUN","JUL","AUG","SEP","OCT","NOV","DEC"}, 0),(DAY($D32))),INDIRECT(_xlfn.CONCAT("'Order Tracker'!S12:T",Data!$AM$3)))=0,"- -",SUMIF(INDIRECT(_xlfn.CONCAT("'Order Tracker'!E12:F",Data!$AM$3)),DATE(2025,MATCH(UPPER($AS$10), {"JAN","FEB","MAR","APR","MAY","JUN","JUL","AUG","SEP","OCT","NOV","DEC"}, 0),(DAY($D32))),INDIRECT(_xlfn.CONCAT("'Order Tracker'!S12:T",Data!$AM$3))))</f>
        <v>- -</v>
      </c>
      <c r="AU32" s="156">
        <f t="shared" ca="1" si="10"/>
        <v>0</v>
      </c>
      <c r="AV32" s="7"/>
      <c r="AW32" s="160" t="str">
        <f ca="1">IF(SUMIF(INDIRECT(_xlfn.CONCAT("'Order Tracker'!E12:F",Data!$AM$3)),DATE(2025,MATCH(UPPER($AW$10), {"JAN","FEB","MAR","APR","MAY","JUN","JUL","AUG","SEP","OCT","NOV","DEC"}, 0),(DAY($D32))),INDIRECT(_xlfn.CONCAT("'Order Tracker'!Q12:R",Data!$AM$3)))=0,"- -",SUMIF(INDIRECT(_xlfn.CONCAT("'Order Tracker'!E12:F",Data!$AM$3)),DATE(2025,MATCH(UPPER($AW$10), {"JAN","FEB","MAR","APR","MAY","JUN","JUL","AUG","SEP","OCT","NOV","DEC"}, 0),(DAY($D32))),INDIRECT(_xlfn.CONCAT("'Order Tracker'!Q12:R",Data!$AM$3))))</f>
        <v>- -</v>
      </c>
      <c r="AX32" s="160" t="str">
        <f ca="1">IF(SUMIF(INDIRECT(_xlfn.CONCAT("'Order Tracker'!E12:F",Data!$AM$3)),DATE(2025,MATCH(UPPER($AW$10), {"JAN","FEB","MAR","APR","MAY","JUN","JUL","AUG","SEP","OCT","NOV","DEC"}, 0),(DAY($D32))),INDIRECT(_xlfn.CONCAT("'Order Tracker'!S12:T",Data!$AM$3)))=0,"- -",SUMIF(INDIRECT(_xlfn.CONCAT("'Order Tracker'!E12:F",Data!$AM$3)),DATE(2025,MATCH(UPPER($AW$10), {"JAN","FEB","MAR","APR","MAY","JUN","JUL","AUG","SEP","OCT","NOV","DEC"}, 0),(DAY($D32))),INDIRECT(_xlfn.CONCAT("'Order Tracker'!S12:T",Data!$AM$3))))</f>
        <v>- -</v>
      </c>
      <c r="AY32" s="156">
        <f t="shared" ca="1" si="11"/>
        <v>0</v>
      </c>
      <c r="AZ32" s="109"/>
    </row>
    <row r="33" spans="4:52" ht="18" hidden="1" x14ac:dyDescent="0.2">
      <c r="D33" s="151">
        <v>20</v>
      </c>
      <c r="E33" s="160" t="str">
        <f ca="1">IF(SUMIF(INDIRECT(_xlfn.CONCAT("'Order Tracker'!E12:F",Data!$AM$3)),DATE(2025,MATCH(UPPER($E$10), {"JAN","FEB","MAR","APR","MAY","JUN","JUL","AUG","SEP","OCT","NOV","DEC"}, 0),(DAY($D33))),INDIRECT(_xlfn.CONCAT("'Order Tracker'!Q12:R",Data!$AM$3)))=0,"- -",SUMIF(INDIRECT(_xlfn.CONCAT("'Order Tracker'!E12:F",Data!$AM$3)),DATE(2025,MATCH(UPPER($E$10), {"JAN","FEB","MAR","APR","MAY","JUN","JUL","AUG","SEP","OCT","NOV","DEC"}, 0),(DAY($D33))),INDIRECT(_xlfn.CONCAT("'Order Tracker'!Q12:R",Data!$AM$3))))</f>
        <v>- -</v>
      </c>
      <c r="F33" s="160" t="str">
        <f ca="1">IF(SUMIF(INDIRECT(_xlfn.CONCAT("'Order Tracker'!E12:F",Data!$AM$3)),DATE(2025,MATCH(UPPER($E$10), {"JAN","FEB","MAR","APR","MAY","JUN","JUL","AUG","SEP","OCT","NOV","DEC"}, 0),(DAY($D33))),INDIRECT(_xlfn.CONCAT("'Order Tracker'!S12:T",Data!$AM$3)))=0,"- -",SUMIF(INDIRECT(_xlfn.CONCAT("'Order Tracker'!E12:F",Data!$AM$3)),DATE(2025,MATCH(UPPER($E$10), {"JAN","FEB","MAR","APR","MAY","JUN","JUL","AUG","SEP","OCT","NOV","DEC"}, 0),(DAY($D33))),INDIRECT(_xlfn.CONCAT("'Order Tracker'!S12:T",Data!$AM$3))))</f>
        <v>- -</v>
      </c>
      <c r="G33" s="156">
        <f t="shared" ca="1" si="0"/>
        <v>0</v>
      </c>
      <c r="H33" s="10"/>
      <c r="I33" s="160" t="str">
        <f ca="1">IF(SUMIF(INDIRECT(_xlfn.CONCAT("'Order Tracker'!E12:F",Data!$AM$3)),DATE(2025,MATCH(UPPER($I$10), {"JAN","FEB","MAR","APR","MAY","JUN","JUL","AUG","SEP","OCT","NOV","DEC"}, 0),(DAY($D33))),INDIRECT(_xlfn.CONCAT("'Order Tracker'!Q12:R",Data!$AM$3)))=0,"- -",SUMIF(INDIRECT(_xlfn.CONCAT("'Order Tracker'!E12:F",Data!$AM$3)),DATE(2025,MATCH(UPPER($I$10), {"JAN","FEB","MAR","APR","MAY","JUN","JUL","AUG","SEP","OCT","NOV","DEC"}, 0),(DAY($D33))),INDIRECT(_xlfn.CONCAT("'Order Tracker'!Q12:R",Data!$AM$3))))</f>
        <v>- -</v>
      </c>
      <c r="J33" s="160" t="str">
        <f ca="1">IF(SUMIF(INDIRECT(_xlfn.CONCAT("'Order Tracker'!E12:F",Data!$AM$3)),DATE(2025,MATCH(UPPER($I$10), {"JAN","FEB","MAR","APR","MAY","JUN","JUL","AUG","SEP","OCT","NOV","DEC"}, 0),(DAY($D33))),INDIRECT(_xlfn.CONCAT("'Order Tracker'!S12:T",Data!$AM$3)))=0,"- -",SUMIF(INDIRECT(_xlfn.CONCAT("'Order Tracker'!E12:F",Data!$AM$3)),DATE(2025,MATCH(UPPER($I$10), {"JAN","FEB","MAR","APR","MAY","JUN","JUL","AUG","SEP","OCT","NOV","DEC"}, 0),(DAY($D33))),INDIRECT(_xlfn.CONCAT("'Order Tracker'!S12:T",Data!$AM$3))))</f>
        <v>- -</v>
      </c>
      <c r="K33" s="156">
        <f t="shared" ca="1" si="1"/>
        <v>0</v>
      </c>
      <c r="L33" s="10"/>
      <c r="M33" s="160" t="str">
        <f ca="1">IF(SUMIF(INDIRECT(_xlfn.CONCAT("'Order Tracker'!E12:F",Data!$AM$3)),DATE(2025,MATCH(UPPER($M$10), {"JAN","FEB","MAR","APR","MAY","JUN","JUL","AUG","SEP","OCT","NOV","DEC"}, 0),(DAY($D33))),INDIRECT(_xlfn.CONCAT("'Order Tracker'!Q12:R",Data!$AM$3)))=0,"- -",SUMIF(INDIRECT(_xlfn.CONCAT("'Order Tracker'!E12:F",Data!$AM$3)),DATE(2025,MATCH(UPPER($M$10), {"JAN","FEB","MAR","APR","MAY","JUN","JUL","AUG","SEP","OCT","NOV","DEC"}, 0),(DAY($D33))),INDIRECT(_xlfn.CONCAT("'Order Tracker'!Q12:R",Data!$AM$3))))</f>
        <v>- -</v>
      </c>
      <c r="N33" s="160" t="str">
        <f ca="1">IF(SUMIF(INDIRECT(_xlfn.CONCAT("'Order Tracker'!E12:F",Data!$AM$3)),DATE(2025,MATCH(UPPER($M$10), {"JAN","FEB","MAR","APR","MAY","JUN","JUL","AUG","SEP","OCT","NOV","DEC"}, 0),(DAY($D33))),INDIRECT(_xlfn.CONCAT("'Order Tracker'!S12:T",Data!$AM$3)))=0,"- -",SUMIF(INDIRECT(_xlfn.CONCAT("'Order Tracker'!E12:F",Data!$AM$3)),DATE(2025,MATCH(UPPER($M$10), {"JAN","FEB","MAR","APR","MAY","JUN","JUL","AUG","SEP","OCT","NOV","DEC"}, 0),(DAY($D33))),INDIRECT(_xlfn.CONCAT("'Order Tracker'!S12:T",Data!$AM$3))))</f>
        <v>- -</v>
      </c>
      <c r="O33" s="156">
        <f t="shared" ca="1" si="2"/>
        <v>0</v>
      </c>
      <c r="P33" s="10"/>
      <c r="Q33" s="160" t="str">
        <f ca="1">IF(SUMIF(INDIRECT(_xlfn.CONCAT("'Order Tracker'!E12:F",Data!$AM$3)),DATE(2025,MATCH(UPPER($Q$10), {"JAN","FEB","MAR","APR","MAY","JUN","JUL","AUG","SEP","OCT","NOV","DEC"}, 0),(DAY($D33))),INDIRECT(_xlfn.CONCAT("'Order Tracker'!Q12:R",Data!$AM$3)))=0,"- -",SUMIF(INDIRECT(_xlfn.CONCAT("'Order Tracker'!E12:F",Data!$AM$3)),DATE(2025,MATCH(UPPER($Q$10), {"JAN","FEB","MAR","APR","MAY","JUN","JUL","AUG","SEP","OCT","NOV","DEC"}, 0),(DAY($D33))),INDIRECT(_xlfn.CONCAT("'Order Tracker'!Q12:R",Data!$AM$3))))</f>
        <v>- -</v>
      </c>
      <c r="R33" s="160" t="str">
        <f ca="1">IF(SUMIF(INDIRECT(_xlfn.CONCAT("'Order Tracker'!E12:F",Data!$AM$3)),DATE(2025,MATCH(UPPER($Q$10), {"JAN","FEB","MAR","APR","MAY","JUN","JUL","AUG","SEP","OCT","NOV","DEC"}, 0),(DAY($D33))),INDIRECT(_xlfn.CONCAT("'Order Tracker'!S12:T",Data!$AM$3)))=0,"- -",SUMIF(INDIRECT(_xlfn.CONCAT("'Order Tracker'!E12:F",Data!$AM$3)),DATE(2025,MATCH(UPPER($Q$10), {"JAN","FEB","MAR","APR","MAY","JUN","JUL","AUG","SEP","OCT","NOV","DEC"}, 0),(DAY($D33))),INDIRECT(_xlfn.CONCAT("'Order Tracker'!S12:T",Data!$AM$3))))</f>
        <v>- -</v>
      </c>
      <c r="S33" s="156">
        <f t="shared" ca="1" si="3"/>
        <v>0</v>
      </c>
      <c r="T33" s="10"/>
      <c r="U33" s="160" t="str">
        <f ca="1">IF(SUMIF(INDIRECT(_xlfn.CONCAT("'Order Tracker'!E12:F",Data!$AM$3)),DATE(2025,MATCH(UPPER($U$10), {"JAN","FEB","MAR","APR","MAY","JUN","JUL","AUG","SEP","OCT","NOV","DEC"}, 0),(DAY($D33))),INDIRECT(_xlfn.CONCAT("'Order Tracker'!Q12:R",Data!$AM$3)))=0,"- -",SUMIF(INDIRECT(_xlfn.CONCAT("'Order Tracker'!E12:F",Data!$AM$3)),DATE(2025,MATCH(UPPER($U$10), {"JAN","FEB","MAR","APR","MAY","JUN","JUL","AUG","SEP","OCT","NOV","DEC"}, 0),(DAY($D33))),INDIRECT(_xlfn.CONCAT("'Order Tracker'!Q12:R",Data!$AM$3))))</f>
        <v>- -</v>
      </c>
      <c r="V33" s="160" t="str">
        <f ca="1">IF(SUMIF(INDIRECT(_xlfn.CONCAT("'Order Tracker'!E12:F",Data!$AM$3)),DATE(2025,MATCH(UPPER($U$10), {"JAN","FEB","MAR","APR","MAY","JUN","JUL","AUG","SEP","OCT","NOV","DEC"}, 0),(DAY($D33))),INDIRECT(_xlfn.CONCAT("'Order Tracker'!S12:T",Data!$AM$3)))=0,"- -",SUMIF(INDIRECT(_xlfn.CONCAT("'Order Tracker'!E12:F",Data!$AM$3)),DATE(2025,MATCH(UPPER($U$10), {"JAN","FEB","MAR","APR","MAY","JUN","JUL","AUG","SEP","OCT","NOV","DEC"}, 0),(DAY($D33))),INDIRECT(_xlfn.CONCAT("'Order Tracker'!S12:T",Data!$AM$3))))</f>
        <v>- -</v>
      </c>
      <c r="W33" s="156">
        <f t="shared" ca="1" si="4"/>
        <v>0</v>
      </c>
      <c r="X33" s="10"/>
      <c r="Y33" s="160" t="str">
        <f ca="1">IF(SUMIF(INDIRECT(_xlfn.CONCAT("'Order Tracker'!E12:F",Data!$AM$3)),DATE(2025,MATCH(UPPER($Y$10), {"JAN","FEB","MAR","APR","MAY","JUN","JUL","AUG","SEP","OCT","NOV","DEC"}, 0),(DAY($D33))),INDIRECT(_xlfn.CONCAT("'Order Tracker'!Q12:R",Data!$AM$3)))=0,"- -",SUMIF(INDIRECT(_xlfn.CONCAT("'Order Tracker'!E12:F",Data!$AM$3)),DATE(2025,MATCH(UPPER($Y$10), {"JAN","FEB","MAR","APR","MAY","JUN","JUL","AUG","SEP","OCT","NOV","DEC"}, 0),(DAY($D33))),INDIRECT(_xlfn.CONCAT("'Order Tracker'!Q12:R",Data!$AM$3))))</f>
        <v>- -</v>
      </c>
      <c r="Z33" s="160" t="str">
        <f ca="1">IF(SUMIF(INDIRECT(_xlfn.CONCAT("'Order Tracker'!E12:F",Data!$AM$3)),DATE(2025,MATCH(UPPER($Y$10), {"JAN","FEB","MAR","APR","MAY","JUN","JUL","AUG","SEP","OCT","NOV","DEC"}, 0),(DAY($D33))),INDIRECT(_xlfn.CONCAT("'Order Tracker'!S12:T",Data!$AM$3)))=0,"- -",SUMIF(INDIRECT(_xlfn.CONCAT("'Order Tracker'!E12:F",Data!$AM$3)),DATE(2025,MATCH(UPPER($Y$10), {"JAN","FEB","MAR","APR","MAY","JUN","JUL","AUG","SEP","OCT","NOV","DEC"}, 0),(DAY($D33))),INDIRECT(_xlfn.CONCAT("'Order Tracker'!S12:T",Data!$AM$3))))</f>
        <v>- -</v>
      </c>
      <c r="AA33" s="156">
        <f t="shared" ca="1" si="5"/>
        <v>0</v>
      </c>
      <c r="AB33" s="10"/>
      <c r="AC33" s="160" t="str">
        <f ca="1">IF(SUMIF(INDIRECT(_xlfn.CONCAT("'Order Tracker'!E12:F",Data!$AM$3)),DATE(2025,MATCH(UPPER($AC$10), {"JAN","FEB","MAR","APR","MAY","JUN","JUL","AUG","SEP","OCT","NOV","DEC"}, 0),(DAY($D33))),INDIRECT(_xlfn.CONCAT("'Order Tracker'!Q12:R",Data!$AM$3)))=0,"- -",SUMIF(INDIRECT(_xlfn.CONCAT("'Order Tracker'!E12:F",Data!$AM$3)),DATE(2025,MATCH(UPPER($AC$10), {"JAN","FEB","MAR","APR","MAY","JUN","JUL","AUG","SEP","OCT","NOV","DEC"}, 0),(DAY($D33))),INDIRECT(_xlfn.CONCAT("'Order Tracker'!Q12:R",Data!$AM$3))))</f>
        <v>- -</v>
      </c>
      <c r="AD33" s="160" t="str">
        <f ca="1">IF(SUMIF(INDIRECT(_xlfn.CONCAT("'Order Tracker'!E12:F",Data!$AM$3)),DATE(2025,MATCH(UPPER($AC$10), {"JAN","FEB","MAR","APR","MAY","JUN","JUL","AUG","SEP","OCT","NOV","DEC"}, 0),(DAY($D33))),INDIRECT(_xlfn.CONCAT("'Order Tracker'!S12:T",Data!$AM$3)))=0,"- -",SUMIF(INDIRECT(_xlfn.CONCAT("'Order Tracker'!E12:F",Data!$AM$3)),DATE(2025,MATCH(UPPER($AC$10), {"JAN","FEB","MAR","APR","MAY","JUN","JUL","AUG","SEP","OCT","NOV","DEC"}, 0),(DAY($D33))),INDIRECT(_xlfn.CONCAT("'Order Tracker'!S12:T",Data!$AM$3))))</f>
        <v>- -</v>
      </c>
      <c r="AE33" s="156">
        <f t="shared" ca="1" si="6"/>
        <v>0</v>
      </c>
      <c r="AF33" s="10"/>
      <c r="AG33" s="160" t="str">
        <f ca="1">IF(SUMIF(INDIRECT(_xlfn.CONCAT("'Order Tracker'!E12:F",Data!$AM$3)),DATE(2025,MATCH(UPPER($AG$10), {"JAN","FEB","MAR","APR","MAY","JUN","JUL","AUG","SEP","OCT","NOV","DEC"}, 0),(DAY($D33))),INDIRECT(_xlfn.CONCAT("'Order Tracker'!Q12:R",Data!$AM$3)))=0,"- -",SUMIF(INDIRECT(_xlfn.CONCAT("'Order Tracker'!E12:F",Data!$AM$3)),DATE(2025,MATCH(UPPER($AG$10), {"JAN","FEB","MAR","APR","MAY","JUN","JUL","AUG","SEP","OCT","NOV","DEC"}, 0),(DAY($D33))),INDIRECT(_xlfn.CONCAT("'Order Tracker'!Q12:R",Data!$AM$3))))</f>
        <v>- -</v>
      </c>
      <c r="AH33" s="160" t="str">
        <f ca="1">IF(SUMIF(INDIRECT(_xlfn.CONCAT("'Order Tracker'!E12:F",Data!$AM$3)),DATE(2025,MATCH(UPPER($AG$10), {"JAN","FEB","MAR","APR","MAY","JUN","JUL","AUG","SEP","OCT","NOV","DEC"}, 0),(DAY($D33))),INDIRECT(_xlfn.CONCAT("'Order Tracker'!S12:T",Data!$AM$3)))=0,"- -",SUMIF(INDIRECT(_xlfn.CONCAT("'Order Tracker'!E12:F",Data!$AM$3)),DATE(2025,MATCH(UPPER($AG$10), {"JAN","FEB","MAR","APR","MAY","JUN","JUL","AUG","SEP","OCT","NOV","DEC"}, 0),(DAY($D33))),INDIRECT(_xlfn.CONCAT("'Order Tracker'!S12:T",Data!$AM$3))))</f>
        <v>- -</v>
      </c>
      <c r="AI33" s="156">
        <f t="shared" ca="1" si="7"/>
        <v>0</v>
      </c>
      <c r="AJ33" s="10"/>
      <c r="AK33" s="160" t="str">
        <f ca="1">IF(SUMIF(INDIRECT(_xlfn.CONCAT("'Order Tracker'!E12:F",Data!$AM$3)),DATE(2025,MATCH(UPPER($AK$10), {"JAN","FEB","MAR","APR","MAY","JUN","JUL","AUG","SEP","OCT","NOV","DEC"}, 0),(DAY($D33))),INDIRECT(_xlfn.CONCAT("'Order Tracker'!Q12:R",Data!$AM$3)))=0,"- -",SUMIF(INDIRECT(_xlfn.CONCAT("'Order Tracker'!E12:F",Data!$AM$3)),DATE(2025,MATCH(UPPER($AK$10), {"JAN","FEB","MAR","APR","MAY","JUN","JUL","AUG","SEP","OCT","NOV","DEC"}, 0),(DAY($D33))),INDIRECT(_xlfn.CONCAT("'Order Tracker'!Q12:R",Data!$AM$3))))</f>
        <v>- -</v>
      </c>
      <c r="AL33" s="160" t="str">
        <f ca="1">IF(SUMIF(INDIRECT(_xlfn.CONCAT("'Order Tracker'!E12:F",Data!$AM$3)),DATE(2025,MATCH(UPPER($AK$10), {"JAN","FEB","MAR","APR","MAY","JUN","JUL","AUG","SEP","OCT","NOV","DEC"}, 0),(DAY($D33))),INDIRECT(_xlfn.CONCAT("'Order Tracker'!S12:T",Data!$AM$3)))=0,"- -",SUMIF(INDIRECT(_xlfn.CONCAT("'Order Tracker'!E12:F",Data!$AM$3)),DATE(2025,MATCH(UPPER($AK$10), {"JAN","FEB","MAR","APR","MAY","JUN","JUL","AUG","SEP","OCT","NOV","DEC"}, 0),(DAY($D33))),INDIRECT(_xlfn.CONCAT("'Order Tracker'!S12:T",Data!$AM$3))))</f>
        <v>- -</v>
      </c>
      <c r="AM33" s="156">
        <f t="shared" ca="1" si="8"/>
        <v>0</v>
      </c>
      <c r="AN33" s="10"/>
      <c r="AO33" s="160" t="str">
        <f ca="1">IF(SUMIF(INDIRECT(_xlfn.CONCAT("'Order Tracker'!E12:F",Data!$AM$3)),DATE(2025,MATCH(UPPER($AO$10), {"JAN","FEB","MAR","APR","MAY","JUN","JUL","AUG","SEP","OCT","NOV","DEC"}, 0),(DAY($D33))),INDIRECT(_xlfn.CONCAT("'Order Tracker'!Q12:R",Data!$AM$3)))=0,"- -",SUMIF(INDIRECT(_xlfn.CONCAT("'Order Tracker'!E12:F",Data!$AM$3)),DATE(2025,MATCH(UPPER($AO$10), {"JAN","FEB","MAR","APR","MAY","JUN","JUL","AUG","SEP","OCT","NOV","DEC"}, 0),(DAY($D33))),INDIRECT(_xlfn.CONCAT("'Order Tracker'!Q12:R",Data!$AM$3))))</f>
        <v>- -</v>
      </c>
      <c r="AP33" s="160" t="str">
        <f ca="1">IF(SUMIF(INDIRECT(_xlfn.CONCAT("'Order Tracker'!E12:F",Data!$AM$3)),DATE(2025,MATCH(UPPER($AO$10), {"JAN","FEB","MAR","APR","MAY","JUN","JUL","AUG","SEP","OCT","NOV","DEC"}, 0),(DAY($D33))),INDIRECT(_xlfn.CONCAT("'Order Tracker'!S12:T",Data!$AM$3)))=0,"- -",SUMIF(INDIRECT(_xlfn.CONCAT("'Order Tracker'!E12:F",Data!$AM$3)),DATE(2025,MATCH(UPPER($AO$10), {"JAN","FEB","MAR","APR","MAY","JUN","JUL","AUG","SEP","OCT","NOV","DEC"}, 0),(DAY($D33))),INDIRECT(_xlfn.CONCAT("'Order Tracker'!S12:T",Data!$AM$3))))</f>
        <v>- -</v>
      </c>
      <c r="AQ33" s="156">
        <f t="shared" ca="1" si="9"/>
        <v>0</v>
      </c>
      <c r="AR33" s="10"/>
      <c r="AS33" s="160" t="str">
        <f ca="1">IF(SUMIF(INDIRECT(_xlfn.CONCAT("'Order Tracker'!E12:F",Data!$AM$3)),DATE(2025,MATCH(UPPER($AS$10), {"JAN","FEB","MAR","APR","MAY","JUN","JUL","AUG","SEP","OCT","NOV","DEC"}, 0),(DAY($D33))),INDIRECT(_xlfn.CONCAT("'Order Tracker'!Q12:R",Data!$AM$3)))=0,"- -",SUMIF(INDIRECT(_xlfn.CONCAT("'Order Tracker'!E12:F",Data!$AM$3)),DATE(2025,MATCH(UPPER($AS$10), {"JAN","FEB","MAR","APR","MAY","JUN","JUL","AUG","SEP","OCT","NOV","DEC"}, 0),(DAY($D33))),INDIRECT(_xlfn.CONCAT("'Order Tracker'!Q12:R",Data!$AM$3))))</f>
        <v>- -</v>
      </c>
      <c r="AT33" s="160" t="str">
        <f ca="1">IF(SUMIF(INDIRECT(_xlfn.CONCAT("'Order Tracker'!E12:F",Data!$AM$3)),DATE(2025,MATCH(UPPER($AS$10), {"JAN","FEB","MAR","APR","MAY","JUN","JUL","AUG","SEP","OCT","NOV","DEC"}, 0),(DAY($D33))),INDIRECT(_xlfn.CONCAT("'Order Tracker'!S12:T",Data!$AM$3)))=0,"- -",SUMIF(INDIRECT(_xlfn.CONCAT("'Order Tracker'!E12:F",Data!$AM$3)),DATE(2025,MATCH(UPPER($AS$10), {"JAN","FEB","MAR","APR","MAY","JUN","JUL","AUG","SEP","OCT","NOV","DEC"}, 0),(DAY($D33))),INDIRECT(_xlfn.CONCAT("'Order Tracker'!S12:T",Data!$AM$3))))</f>
        <v>- -</v>
      </c>
      <c r="AU33" s="156">
        <f t="shared" ca="1" si="10"/>
        <v>0</v>
      </c>
      <c r="AV33" s="7"/>
      <c r="AW33" s="160" t="str">
        <f ca="1">IF(SUMIF(INDIRECT(_xlfn.CONCAT("'Order Tracker'!E12:F",Data!$AM$3)),DATE(2025,MATCH(UPPER($AW$10), {"JAN","FEB","MAR","APR","MAY","JUN","JUL","AUG","SEP","OCT","NOV","DEC"}, 0),(DAY($D33))),INDIRECT(_xlfn.CONCAT("'Order Tracker'!Q12:R",Data!$AM$3)))=0,"- -",SUMIF(INDIRECT(_xlfn.CONCAT("'Order Tracker'!E12:F",Data!$AM$3)),DATE(2025,MATCH(UPPER($AW$10), {"JAN","FEB","MAR","APR","MAY","JUN","JUL","AUG","SEP","OCT","NOV","DEC"}, 0),(DAY($D33))),INDIRECT(_xlfn.CONCAT("'Order Tracker'!Q12:R",Data!$AM$3))))</f>
        <v>- -</v>
      </c>
      <c r="AX33" s="160" t="str">
        <f ca="1">IF(SUMIF(INDIRECT(_xlfn.CONCAT("'Order Tracker'!E12:F",Data!$AM$3)),DATE(2025,MATCH(UPPER($AW$10), {"JAN","FEB","MAR","APR","MAY","JUN","JUL","AUG","SEP","OCT","NOV","DEC"}, 0),(DAY($D33))),INDIRECT(_xlfn.CONCAT("'Order Tracker'!S12:T",Data!$AM$3)))=0,"- -",SUMIF(INDIRECT(_xlfn.CONCAT("'Order Tracker'!E12:F",Data!$AM$3)),DATE(2025,MATCH(UPPER($AW$10), {"JAN","FEB","MAR","APR","MAY","JUN","JUL","AUG","SEP","OCT","NOV","DEC"}, 0),(DAY($D33))),INDIRECT(_xlfn.CONCAT("'Order Tracker'!S12:T",Data!$AM$3))))</f>
        <v>- -</v>
      </c>
      <c r="AY33" s="156">
        <f t="shared" ca="1" si="11"/>
        <v>0</v>
      </c>
      <c r="AZ33" s="109"/>
    </row>
    <row r="34" spans="4:52" ht="18" hidden="1" x14ac:dyDescent="0.2">
      <c r="D34" s="151">
        <v>21</v>
      </c>
      <c r="E34" s="160" t="str">
        <f ca="1">IF(SUMIF(INDIRECT(_xlfn.CONCAT("'Order Tracker'!E12:F",Data!$AM$3)),DATE(2025,MATCH(UPPER($E$10), {"JAN","FEB","MAR","APR","MAY","JUN","JUL","AUG","SEP","OCT","NOV","DEC"}, 0),(DAY($D34))),INDIRECT(_xlfn.CONCAT("'Order Tracker'!Q12:R",Data!$AM$3)))=0,"- -",SUMIF(INDIRECT(_xlfn.CONCAT("'Order Tracker'!E12:F",Data!$AM$3)),DATE(2025,MATCH(UPPER($E$10), {"JAN","FEB","MAR","APR","MAY","JUN","JUL","AUG","SEP","OCT","NOV","DEC"}, 0),(DAY($D34))),INDIRECT(_xlfn.CONCAT("'Order Tracker'!Q12:R",Data!$AM$3))))</f>
        <v>- -</v>
      </c>
      <c r="F34" s="160" t="str">
        <f ca="1">IF(SUMIF(INDIRECT(_xlfn.CONCAT("'Order Tracker'!E12:F",Data!$AM$3)),DATE(2025,MATCH(UPPER($E$10), {"JAN","FEB","MAR","APR","MAY","JUN","JUL","AUG","SEP","OCT","NOV","DEC"}, 0),(DAY($D34))),INDIRECT(_xlfn.CONCAT("'Order Tracker'!S12:T",Data!$AM$3)))=0,"- -",SUMIF(INDIRECT(_xlfn.CONCAT("'Order Tracker'!E12:F",Data!$AM$3)),DATE(2025,MATCH(UPPER($E$10), {"JAN","FEB","MAR","APR","MAY","JUN","JUL","AUG","SEP","OCT","NOV","DEC"}, 0),(DAY($D34))),INDIRECT(_xlfn.CONCAT("'Order Tracker'!S12:T",Data!$AM$3))))</f>
        <v>- -</v>
      </c>
      <c r="G34" s="156">
        <f t="shared" ca="1" si="0"/>
        <v>0</v>
      </c>
      <c r="H34" s="10"/>
      <c r="I34" s="160" t="str">
        <f ca="1">IF(SUMIF(INDIRECT(_xlfn.CONCAT("'Order Tracker'!E12:F",Data!$AM$3)),DATE(2025,MATCH(UPPER($I$10), {"JAN","FEB","MAR","APR","MAY","JUN","JUL","AUG","SEP","OCT","NOV","DEC"}, 0),(DAY($D34))),INDIRECT(_xlfn.CONCAT("'Order Tracker'!Q12:R",Data!$AM$3)))=0,"- -",SUMIF(INDIRECT(_xlfn.CONCAT("'Order Tracker'!E12:F",Data!$AM$3)),DATE(2025,MATCH(UPPER($I$10), {"JAN","FEB","MAR","APR","MAY","JUN","JUL","AUG","SEP","OCT","NOV","DEC"}, 0),(DAY($D34))),INDIRECT(_xlfn.CONCAT("'Order Tracker'!Q12:R",Data!$AM$3))))</f>
        <v>- -</v>
      </c>
      <c r="J34" s="160" t="str">
        <f ca="1">IF(SUMIF(INDIRECT(_xlfn.CONCAT("'Order Tracker'!E12:F",Data!$AM$3)),DATE(2025,MATCH(UPPER($I$10), {"JAN","FEB","MAR","APR","MAY","JUN","JUL","AUG","SEP","OCT","NOV","DEC"}, 0),(DAY($D34))),INDIRECT(_xlfn.CONCAT("'Order Tracker'!S12:T",Data!$AM$3)))=0,"- -",SUMIF(INDIRECT(_xlfn.CONCAT("'Order Tracker'!E12:F",Data!$AM$3)),DATE(2025,MATCH(UPPER($I$10), {"JAN","FEB","MAR","APR","MAY","JUN","JUL","AUG","SEP","OCT","NOV","DEC"}, 0),(DAY($D34))),INDIRECT(_xlfn.CONCAT("'Order Tracker'!S12:T",Data!$AM$3))))</f>
        <v>- -</v>
      </c>
      <c r="K34" s="156">
        <f t="shared" ca="1" si="1"/>
        <v>0</v>
      </c>
      <c r="L34" s="10"/>
      <c r="M34" s="160" t="str">
        <f ca="1">IF(SUMIF(INDIRECT(_xlfn.CONCAT("'Order Tracker'!E12:F",Data!$AM$3)),DATE(2025,MATCH(UPPER($M$10), {"JAN","FEB","MAR","APR","MAY","JUN","JUL","AUG","SEP","OCT","NOV","DEC"}, 0),(DAY($D34))),INDIRECT(_xlfn.CONCAT("'Order Tracker'!Q12:R",Data!$AM$3)))=0,"- -",SUMIF(INDIRECT(_xlfn.CONCAT("'Order Tracker'!E12:F",Data!$AM$3)),DATE(2025,MATCH(UPPER($M$10), {"JAN","FEB","MAR","APR","MAY","JUN","JUL","AUG","SEP","OCT","NOV","DEC"}, 0),(DAY($D34))),INDIRECT(_xlfn.CONCAT("'Order Tracker'!Q12:R",Data!$AM$3))))</f>
        <v>- -</v>
      </c>
      <c r="N34" s="160" t="str">
        <f ca="1">IF(SUMIF(INDIRECT(_xlfn.CONCAT("'Order Tracker'!E12:F",Data!$AM$3)),DATE(2025,MATCH(UPPER($M$10), {"JAN","FEB","MAR","APR","MAY","JUN","JUL","AUG","SEP","OCT","NOV","DEC"}, 0),(DAY($D34))),INDIRECT(_xlfn.CONCAT("'Order Tracker'!S12:T",Data!$AM$3)))=0,"- -",SUMIF(INDIRECT(_xlfn.CONCAT("'Order Tracker'!E12:F",Data!$AM$3)),DATE(2025,MATCH(UPPER($M$10), {"JAN","FEB","MAR","APR","MAY","JUN","JUL","AUG","SEP","OCT","NOV","DEC"}, 0),(DAY($D34))),INDIRECT(_xlfn.CONCAT("'Order Tracker'!S12:T",Data!$AM$3))))</f>
        <v>- -</v>
      </c>
      <c r="O34" s="156">
        <f t="shared" ca="1" si="2"/>
        <v>0</v>
      </c>
      <c r="P34" s="10"/>
      <c r="Q34" s="160" t="str">
        <f ca="1">IF(SUMIF(INDIRECT(_xlfn.CONCAT("'Order Tracker'!E12:F",Data!$AM$3)),DATE(2025,MATCH(UPPER($Q$10), {"JAN","FEB","MAR","APR","MAY","JUN","JUL","AUG","SEP","OCT","NOV","DEC"}, 0),(DAY($D34))),INDIRECT(_xlfn.CONCAT("'Order Tracker'!Q12:R",Data!$AM$3)))=0,"- -",SUMIF(INDIRECT(_xlfn.CONCAT("'Order Tracker'!E12:F",Data!$AM$3)),DATE(2025,MATCH(UPPER($Q$10), {"JAN","FEB","MAR","APR","MAY","JUN","JUL","AUG","SEP","OCT","NOV","DEC"}, 0),(DAY($D34))),INDIRECT(_xlfn.CONCAT("'Order Tracker'!Q12:R",Data!$AM$3))))</f>
        <v>- -</v>
      </c>
      <c r="R34" s="160" t="str">
        <f ca="1">IF(SUMIF(INDIRECT(_xlfn.CONCAT("'Order Tracker'!E12:F",Data!$AM$3)),DATE(2025,MATCH(UPPER($Q$10), {"JAN","FEB","MAR","APR","MAY","JUN","JUL","AUG","SEP","OCT","NOV","DEC"}, 0),(DAY($D34))),INDIRECT(_xlfn.CONCAT("'Order Tracker'!S12:T",Data!$AM$3)))=0,"- -",SUMIF(INDIRECT(_xlfn.CONCAT("'Order Tracker'!E12:F",Data!$AM$3)),DATE(2025,MATCH(UPPER($Q$10), {"JAN","FEB","MAR","APR","MAY","JUN","JUL","AUG","SEP","OCT","NOV","DEC"}, 0),(DAY($D34))),INDIRECT(_xlfn.CONCAT("'Order Tracker'!S12:T",Data!$AM$3))))</f>
        <v>- -</v>
      </c>
      <c r="S34" s="156">
        <f t="shared" ca="1" si="3"/>
        <v>0</v>
      </c>
      <c r="T34" s="10"/>
      <c r="U34" s="160" t="str">
        <f ca="1">IF(SUMIF(INDIRECT(_xlfn.CONCAT("'Order Tracker'!E12:F",Data!$AM$3)),DATE(2025,MATCH(UPPER($U$10), {"JAN","FEB","MAR","APR","MAY","JUN","JUL","AUG","SEP","OCT","NOV","DEC"}, 0),(DAY($D34))),INDIRECT(_xlfn.CONCAT("'Order Tracker'!Q12:R",Data!$AM$3)))=0,"- -",SUMIF(INDIRECT(_xlfn.CONCAT("'Order Tracker'!E12:F",Data!$AM$3)),DATE(2025,MATCH(UPPER($U$10), {"JAN","FEB","MAR","APR","MAY","JUN","JUL","AUG","SEP","OCT","NOV","DEC"}, 0),(DAY($D34))),INDIRECT(_xlfn.CONCAT("'Order Tracker'!Q12:R",Data!$AM$3))))</f>
        <v>- -</v>
      </c>
      <c r="V34" s="160" t="str">
        <f ca="1">IF(SUMIF(INDIRECT(_xlfn.CONCAT("'Order Tracker'!E12:F",Data!$AM$3)),DATE(2025,MATCH(UPPER($U$10), {"JAN","FEB","MAR","APR","MAY","JUN","JUL","AUG","SEP","OCT","NOV","DEC"}, 0),(DAY($D34))),INDIRECT(_xlfn.CONCAT("'Order Tracker'!S12:T",Data!$AM$3)))=0,"- -",SUMIF(INDIRECT(_xlfn.CONCAT("'Order Tracker'!E12:F",Data!$AM$3)),DATE(2025,MATCH(UPPER($U$10), {"JAN","FEB","MAR","APR","MAY","JUN","JUL","AUG","SEP","OCT","NOV","DEC"}, 0),(DAY($D34))),INDIRECT(_xlfn.CONCAT("'Order Tracker'!S12:T",Data!$AM$3))))</f>
        <v>- -</v>
      </c>
      <c r="W34" s="156">
        <f t="shared" ca="1" si="4"/>
        <v>0</v>
      </c>
      <c r="X34" s="10"/>
      <c r="Y34" s="160" t="str">
        <f ca="1">IF(SUMIF(INDIRECT(_xlfn.CONCAT("'Order Tracker'!E12:F",Data!$AM$3)),DATE(2025,MATCH(UPPER($Y$10), {"JAN","FEB","MAR","APR","MAY","JUN","JUL","AUG","SEP","OCT","NOV","DEC"}, 0),(DAY($D34))),INDIRECT(_xlfn.CONCAT("'Order Tracker'!Q12:R",Data!$AM$3)))=0,"- -",SUMIF(INDIRECT(_xlfn.CONCAT("'Order Tracker'!E12:F",Data!$AM$3)),DATE(2025,MATCH(UPPER($Y$10), {"JAN","FEB","MAR","APR","MAY","JUN","JUL","AUG","SEP","OCT","NOV","DEC"}, 0),(DAY($D34))),INDIRECT(_xlfn.CONCAT("'Order Tracker'!Q12:R",Data!$AM$3))))</f>
        <v>- -</v>
      </c>
      <c r="Z34" s="160" t="str">
        <f ca="1">IF(SUMIF(INDIRECT(_xlfn.CONCAT("'Order Tracker'!E12:F",Data!$AM$3)),DATE(2025,MATCH(UPPER($Y$10), {"JAN","FEB","MAR","APR","MAY","JUN","JUL","AUG","SEP","OCT","NOV","DEC"}, 0),(DAY($D34))),INDIRECT(_xlfn.CONCAT("'Order Tracker'!S12:T",Data!$AM$3)))=0,"- -",SUMIF(INDIRECT(_xlfn.CONCAT("'Order Tracker'!E12:F",Data!$AM$3)),DATE(2025,MATCH(UPPER($Y$10), {"JAN","FEB","MAR","APR","MAY","JUN","JUL","AUG","SEP","OCT","NOV","DEC"}, 0),(DAY($D34))),INDIRECT(_xlfn.CONCAT("'Order Tracker'!S12:T",Data!$AM$3))))</f>
        <v>- -</v>
      </c>
      <c r="AA34" s="156">
        <f t="shared" ca="1" si="5"/>
        <v>0</v>
      </c>
      <c r="AB34" s="10"/>
      <c r="AC34" s="160" t="str">
        <f ca="1">IF(SUMIF(INDIRECT(_xlfn.CONCAT("'Order Tracker'!E12:F",Data!$AM$3)),DATE(2025,MATCH(UPPER($AC$10), {"JAN","FEB","MAR","APR","MAY","JUN","JUL","AUG","SEP","OCT","NOV","DEC"}, 0),(DAY($D34))),INDIRECT(_xlfn.CONCAT("'Order Tracker'!Q12:R",Data!$AM$3)))=0,"- -",SUMIF(INDIRECT(_xlfn.CONCAT("'Order Tracker'!E12:F",Data!$AM$3)),DATE(2025,MATCH(UPPER($AC$10), {"JAN","FEB","MAR","APR","MAY","JUN","JUL","AUG","SEP","OCT","NOV","DEC"}, 0),(DAY($D34))),INDIRECT(_xlfn.CONCAT("'Order Tracker'!Q12:R",Data!$AM$3))))</f>
        <v>- -</v>
      </c>
      <c r="AD34" s="160" t="str">
        <f ca="1">IF(SUMIF(INDIRECT(_xlfn.CONCAT("'Order Tracker'!E12:F",Data!$AM$3)),DATE(2025,MATCH(UPPER($AC$10), {"JAN","FEB","MAR","APR","MAY","JUN","JUL","AUG","SEP","OCT","NOV","DEC"}, 0),(DAY($D34))),INDIRECT(_xlfn.CONCAT("'Order Tracker'!S12:T",Data!$AM$3)))=0,"- -",SUMIF(INDIRECT(_xlfn.CONCAT("'Order Tracker'!E12:F",Data!$AM$3)),DATE(2025,MATCH(UPPER($AC$10), {"JAN","FEB","MAR","APR","MAY","JUN","JUL","AUG","SEP","OCT","NOV","DEC"}, 0),(DAY($D34))),INDIRECT(_xlfn.CONCAT("'Order Tracker'!S12:T",Data!$AM$3))))</f>
        <v>- -</v>
      </c>
      <c r="AE34" s="156">
        <f t="shared" ca="1" si="6"/>
        <v>0</v>
      </c>
      <c r="AF34" s="10"/>
      <c r="AG34" s="160" t="str">
        <f ca="1">IF(SUMIF(INDIRECT(_xlfn.CONCAT("'Order Tracker'!E12:F",Data!$AM$3)),DATE(2025,MATCH(UPPER($AG$10), {"JAN","FEB","MAR","APR","MAY","JUN","JUL","AUG","SEP","OCT","NOV","DEC"}, 0),(DAY($D34))),INDIRECT(_xlfn.CONCAT("'Order Tracker'!Q12:R",Data!$AM$3)))=0,"- -",SUMIF(INDIRECT(_xlfn.CONCAT("'Order Tracker'!E12:F",Data!$AM$3)),DATE(2025,MATCH(UPPER($AG$10), {"JAN","FEB","MAR","APR","MAY","JUN","JUL","AUG","SEP","OCT","NOV","DEC"}, 0),(DAY($D34))),INDIRECT(_xlfn.CONCAT("'Order Tracker'!Q12:R",Data!$AM$3))))</f>
        <v>- -</v>
      </c>
      <c r="AH34" s="160" t="str">
        <f ca="1">IF(SUMIF(INDIRECT(_xlfn.CONCAT("'Order Tracker'!E12:F",Data!$AM$3)),DATE(2025,MATCH(UPPER($AG$10), {"JAN","FEB","MAR","APR","MAY","JUN","JUL","AUG","SEP","OCT","NOV","DEC"}, 0),(DAY($D34))),INDIRECT(_xlfn.CONCAT("'Order Tracker'!S12:T",Data!$AM$3)))=0,"- -",SUMIF(INDIRECT(_xlfn.CONCAT("'Order Tracker'!E12:F",Data!$AM$3)),DATE(2025,MATCH(UPPER($AG$10), {"JAN","FEB","MAR","APR","MAY","JUN","JUL","AUG","SEP","OCT","NOV","DEC"}, 0),(DAY($D34))),INDIRECT(_xlfn.CONCAT("'Order Tracker'!S12:T",Data!$AM$3))))</f>
        <v>- -</v>
      </c>
      <c r="AI34" s="156">
        <f t="shared" ca="1" si="7"/>
        <v>0</v>
      </c>
      <c r="AJ34" s="10"/>
      <c r="AK34" s="160" t="str">
        <f ca="1">IF(SUMIF(INDIRECT(_xlfn.CONCAT("'Order Tracker'!E12:F",Data!$AM$3)),DATE(2025,MATCH(UPPER($AK$10), {"JAN","FEB","MAR","APR","MAY","JUN","JUL","AUG","SEP","OCT","NOV","DEC"}, 0),(DAY($D34))),INDIRECT(_xlfn.CONCAT("'Order Tracker'!Q12:R",Data!$AM$3)))=0,"- -",SUMIF(INDIRECT(_xlfn.CONCAT("'Order Tracker'!E12:F",Data!$AM$3)),DATE(2025,MATCH(UPPER($AK$10), {"JAN","FEB","MAR","APR","MAY","JUN","JUL","AUG","SEP","OCT","NOV","DEC"}, 0),(DAY($D34))),INDIRECT(_xlfn.CONCAT("'Order Tracker'!Q12:R",Data!$AM$3))))</f>
        <v>- -</v>
      </c>
      <c r="AL34" s="160" t="str">
        <f ca="1">IF(SUMIF(INDIRECT(_xlfn.CONCAT("'Order Tracker'!E12:F",Data!$AM$3)),DATE(2025,MATCH(UPPER($AK$10), {"JAN","FEB","MAR","APR","MAY","JUN","JUL","AUG","SEP","OCT","NOV","DEC"}, 0),(DAY($D34))),INDIRECT(_xlfn.CONCAT("'Order Tracker'!S12:T",Data!$AM$3)))=0,"- -",SUMIF(INDIRECT(_xlfn.CONCAT("'Order Tracker'!E12:F",Data!$AM$3)),DATE(2025,MATCH(UPPER($AK$10), {"JAN","FEB","MAR","APR","MAY","JUN","JUL","AUG","SEP","OCT","NOV","DEC"}, 0),(DAY($D34))),INDIRECT(_xlfn.CONCAT("'Order Tracker'!S12:T",Data!$AM$3))))</f>
        <v>- -</v>
      </c>
      <c r="AM34" s="156">
        <f t="shared" ca="1" si="8"/>
        <v>0</v>
      </c>
      <c r="AN34" s="10"/>
      <c r="AO34" s="160" t="str">
        <f ca="1">IF(SUMIF(INDIRECT(_xlfn.CONCAT("'Order Tracker'!E12:F",Data!$AM$3)),DATE(2025,MATCH(UPPER($AO$10), {"JAN","FEB","MAR","APR","MAY","JUN","JUL","AUG","SEP","OCT","NOV","DEC"}, 0),(DAY($D34))),INDIRECT(_xlfn.CONCAT("'Order Tracker'!Q12:R",Data!$AM$3)))=0,"- -",SUMIF(INDIRECT(_xlfn.CONCAT("'Order Tracker'!E12:F",Data!$AM$3)),DATE(2025,MATCH(UPPER($AO$10), {"JAN","FEB","MAR","APR","MAY","JUN","JUL","AUG","SEP","OCT","NOV","DEC"}, 0),(DAY($D34))),INDIRECT(_xlfn.CONCAT("'Order Tracker'!Q12:R",Data!$AM$3))))</f>
        <v>- -</v>
      </c>
      <c r="AP34" s="160" t="str">
        <f ca="1">IF(SUMIF(INDIRECT(_xlfn.CONCAT("'Order Tracker'!E12:F",Data!$AM$3)),DATE(2025,MATCH(UPPER($AO$10), {"JAN","FEB","MAR","APR","MAY","JUN","JUL","AUG","SEP","OCT","NOV","DEC"}, 0),(DAY($D34))),INDIRECT(_xlfn.CONCAT("'Order Tracker'!S12:T",Data!$AM$3)))=0,"- -",SUMIF(INDIRECT(_xlfn.CONCAT("'Order Tracker'!E12:F",Data!$AM$3)),DATE(2025,MATCH(UPPER($AO$10), {"JAN","FEB","MAR","APR","MAY","JUN","JUL","AUG","SEP","OCT","NOV","DEC"}, 0),(DAY($D34))),INDIRECT(_xlfn.CONCAT("'Order Tracker'!S12:T",Data!$AM$3))))</f>
        <v>- -</v>
      </c>
      <c r="AQ34" s="156">
        <f t="shared" ca="1" si="9"/>
        <v>0</v>
      </c>
      <c r="AR34" s="10"/>
      <c r="AS34" s="160" t="str">
        <f ca="1">IF(SUMIF(INDIRECT(_xlfn.CONCAT("'Order Tracker'!E12:F",Data!$AM$3)),DATE(2025,MATCH(UPPER($AS$10), {"JAN","FEB","MAR","APR","MAY","JUN","JUL","AUG","SEP","OCT","NOV","DEC"}, 0),(DAY($D34))),INDIRECT(_xlfn.CONCAT("'Order Tracker'!Q12:R",Data!$AM$3)))=0,"- -",SUMIF(INDIRECT(_xlfn.CONCAT("'Order Tracker'!E12:F",Data!$AM$3)),DATE(2025,MATCH(UPPER($AS$10), {"JAN","FEB","MAR","APR","MAY","JUN","JUL","AUG","SEP","OCT","NOV","DEC"}, 0),(DAY($D34))),INDIRECT(_xlfn.CONCAT("'Order Tracker'!Q12:R",Data!$AM$3))))</f>
        <v>- -</v>
      </c>
      <c r="AT34" s="160" t="str">
        <f ca="1">IF(SUMIF(INDIRECT(_xlfn.CONCAT("'Order Tracker'!E12:F",Data!$AM$3)),DATE(2025,MATCH(UPPER($AS$10), {"JAN","FEB","MAR","APR","MAY","JUN","JUL","AUG","SEP","OCT","NOV","DEC"}, 0),(DAY($D34))),INDIRECT(_xlfn.CONCAT("'Order Tracker'!S12:T",Data!$AM$3)))=0,"- -",SUMIF(INDIRECT(_xlfn.CONCAT("'Order Tracker'!E12:F",Data!$AM$3)),DATE(2025,MATCH(UPPER($AS$10), {"JAN","FEB","MAR","APR","MAY","JUN","JUL","AUG","SEP","OCT","NOV","DEC"}, 0),(DAY($D34))),INDIRECT(_xlfn.CONCAT("'Order Tracker'!S12:T",Data!$AM$3))))</f>
        <v>- -</v>
      </c>
      <c r="AU34" s="156">
        <f t="shared" ca="1" si="10"/>
        <v>0</v>
      </c>
      <c r="AV34" s="7"/>
      <c r="AW34" s="160" t="str">
        <f ca="1">IF(SUMIF(INDIRECT(_xlfn.CONCAT("'Order Tracker'!E12:F",Data!$AM$3)),DATE(2025,MATCH(UPPER($AW$10), {"JAN","FEB","MAR","APR","MAY","JUN","JUL","AUG","SEP","OCT","NOV","DEC"}, 0),(DAY($D34))),INDIRECT(_xlfn.CONCAT("'Order Tracker'!Q12:R",Data!$AM$3)))=0,"- -",SUMIF(INDIRECT(_xlfn.CONCAT("'Order Tracker'!E12:F",Data!$AM$3)),DATE(2025,MATCH(UPPER($AW$10), {"JAN","FEB","MAR","APR","MAY","JUN","JUL","AUG","SEP","OCT","NOV","DEC"}, 0),(DAY($D34))),INDIRECT(_xlfn.CONCAT("'Order Tracker'!Q12:R",Data!$AM$3))))</f>
        <v>- -</v>
      </c>
      <c r="AX34" s="160" t="str">
        <f ca="1">IF(SUMIF(INDIRECT(_xlfn.CONCAT("'Order Tracker'!E12:F",Data!$AM$3)),DATE(2025,MATCH(UPPER($AW$10), {"JAN","FEB","MAR","APR","MAY","JUN","JUL","AUG","SEP","OCT","NOV","DEC"}, 0),(DAY($D34))),INDIRECT(_xlfn.CONCAT("'Order Tracker'!S12:T",Data!$AM$3)))=0,"- -",SUMIF(INDIRECT(_xlfn.CONCAT("'Order Tracker'!E12:F",Data!$AM$3)),DATE(2025,MATCH(UPPER($AW$10), {"JAN","FEB","MAR","APR","MAY","JUN","JUL","AUG","SEP","OCT","NOV","DEC"}, 0),(DAY($D34))),INDIRECT(_xlfn.CONCAT("'Order Tracker'!S12:T",Data!$AM$3))))</f>
        <v>- -</v>
      </c>
      <c r="AY34" s="156">
        <f t="shared" ca="1" si="11"/>
        <v>0</v>
      </c>
      <c r="AZ34" s="109"/>
    </row>
    <row r="35" spans="4:52" ht="18" hidden="1" x14ac:dyDescent="0.2">
      <c r="D35" s="151">
        <v>22</v>
      </c>
      <c r="E35" s="160" t="str">
        <f ca="1">IF(SUMIF(INDIRECT(_xlfn.CONCAT("'Order Tracker'!E12:F",Data!$AM$3)),DATE(2025,MATCH(UPPER($E$10), {"JAN","FEB","MAR","APR","MAY","JUN","JUL","AUG","SEP","OCT","NOV","DEC"}, 0),(DAY($D35))),INDIRECT(_xlfn.CONCAT("'Order Tracker'!Q12:R",Data!$AM$3)))=0,"- -",SUMIF(INDIRECT(_xlfn.CONCAT("'Order Tracker'!E12:F",Data!$AM$3)),DATE(2025,MATCH(UPPER($E$10), {"JAN","FEB","MAR","APR","MAY","JUN","JUL","AUG","SEP","OCT","NOV","DEC"}, 0),(DAY($D35))),INDIRECT(_xlfn.CONCAT("'Order Tracker'!Q12:R",Data!$AM$3))))</f>
        <v>- -</v>
      </c>
      <c r="F35" s="160" t="str">
        <f ca="1">IF(SUMIF(INDIRECT(_xlfn.CONCAT("'Order Tracker'!E12:F",Data!$AM$3)),DATE(2025,MATCH(UPPER($E$10), {"JAN","FEB","MAR","APR","MAY","JUN","JUL","AUG","SEP","OCT","NOV","DEC"}, 0),(DAY($D35))),INDIRECT(_xlfn.CONCAT("'Order Tracker'!S12:T",Data!$AM$3)))=0,"- -",SUMIF(INDIRECT(_xlfn.CONCAT("'Order Tracker'!E12:F",Data!$AM$3)),DATE(2025,MATCH(UPPER($E$10), {"JAN","FEB","MAR","APR","MAY","JUN","JUL","AUG","SEP","OCT","NOV","DEC"}, 0),(DAY($D35))),INDIRECT(_xlfn.CONCAT("'Order Tracker'!S12:T",Data!$AM$3))))</f>
        <v>- -</v>
      </c>
      <c r="G35" s="156">
        <f t="shared" ca="1" si="0"/>
        <v>0</v>
      </c>
      <c r="H35" s="10"/>
      <c r="I35" s="160" t="str">
        <f ca="1">IF(SUMIF(INDIRECT(_xlfn.CONCAT("'Order Tracker'!E12:F",Data!$AM$3)),DATE(2025,MATCH(UPPER($I$10), {"JAN","FEB","MAR","APR","MAY","JUN","JUL","AUG","SEP","OCT","NOV","DEC"}, 0),(DAY($D35))),INDIRECT(_xlfn.CONCAT("'Order Tracker'!Q12:R",Data!$AM$3)))=0,"- -",SUMIF(INDIRECT(_xlfn.CONCAT("'Order Tracker'!E12:F",Data!$AM$3)),DATE(2025,MATCH(UPPER($I$10), {"JAN","FEB","MAR","APR","MAY","JUN","JUL","AUG","SEP","OCT","NOV","DEC"}, 0),(DAY($D35))),INDIRECT(_xlfn.CONCAT("'Order Tracker'!Q12:R",Data!$AM$3))))</f>
        <v>- -</v>
      </c>
      <c r="J35" s="160" t="str">
        <f ca="1">IF(SUMIF(INDIRECT(_xlfn.CONCAT("'Order Tracker'!E12:F",Data!$AM$3)),DATE(2025,MATCH(UPPER($I$10), {"JAN","FEB","MAR","APR","MAY","JUN","JUL","AUG","SEP","OCT","NOV","DEC"}, 0),(DAY($D35))),INDIRECT(_xlfn.CONCAT("'Order Tracker'!S12:T",Data!$AM$3)))=0,"- -",SUMIF(INDIRECT(_xlfn.CONCAT("'Order Tracker'!E12:F",Data!$AM$3)),DATE(2025,MATCH(UPPER($I$10), {"JAN","FEB","MAR","APR","MAY","JUN","JUL","AUG","SEP","OCT","NOV","DEC"}, 0),(DAY($D35))),INDIRECT(_xlfn.CONCAT("'Order Tracker'!S12:T",Data!$AM$3))))</f>
        <v>- -</v>
      </c>
      <c r="K35" s="156">
        <f t="shared" ca="1" si="1"/>
        <v>0</v>
      </c>
      <c r="L35" s="10"/>
      <c r="M35" s="160" t="str">
        <f ca="1">IF(SUMIF(INDIRECT(_xlfn.CONCAT("'Order Tracker'!E12:F",Data!$AM$3)),DATE(2025,MATCH(UPPER($M$10), {"JAN","FEB","MAR","APR","MAY","JUN","JUL","AUG","SEP","OCT","NOV","DEC"}, 0),(DAY($D35))),INDIRECT(_xlfn.CONCAT("'Order Tracker'!Q12:R",Data!$AM$3)))=0,"- -",SUMIF(INDIRECT(_xlfn.CONCAT("'Order Tracker'!E12:F",Data!$AM$3)),DATE(2025,MATCH(UPPER($M$10), {"JAN","FEB","MAR","APR","MAY","JUN","JUL","AUG","SEP","OCT","NOV","DEC"}, 0),(DAY($D35))),INDIRECT(_xlfn.CONCAT("'Order Tracker'!Q12:R",Data!$AM$3))))</f>
        <v>- -</v>
      </c>
      <c r="N35" s="160" t="str">
        <f ca="1">IF(SUMIF(INDIRECT(_xlfn.CONCAT("'Order Tracker'!E12:F",Data!$AM$3)),DATE(2025,MATCH(UPPER($M$10), {"JAN","FEB","MAR","APR","MAY","JUN","JUL","AUG","SEP","OCT","NOV","DEC"}, 0),(DAY($D35))),INDIRECT(_xlfn.CONCAT("'Order Tracker'!S12:T",Data!$AM$3)))=0,"- -",SUMIF(INDIRECT(_xlfn.CONCAT("'Order Tracker'!E12:F",Data!$AM$3)),DATE(2025,MATCH(UPPER($M$10), {"JAN","FEB","MAR","APR","MAY","JUN","JUL","AUG","SEP","OCT","NOV","DEC"}, 0),(DAY($D35))),INDIRECT(_xlfn.CONCAT("'Order Tracker'!S12:T",Data!$AM$3))))</f>
        <v>- -</v>
      </c>
      <c r="O35" s="156">
        <f t="shared" ca="1" si="2"/>
        <v>0</v>
      </c>
      <c r="P35" s="10"/>
      <c r="Q35" s="160" t="str">
        <f ca="1">IF(SUMIF(INDIRECT(_xlfn.CONCAT("'Order Tracker'!E12:F",Data!$AM$3)),DATE(2025,MATCH(UPPER($Q$10), {"JAN","FEB","MAR","APR","MAY","JUN","JUL","AUG","SEP","OCT","NOV","DEC"}, 0),(DAY($D35))),INDIRECT(_xlfn.CONCAT("'Order Tracker'!Q12:R",Data!$AM$3)))=0,"- -",SUMIF(INDIRECT(_xlfn.CONCAT("'Order Tracker'!E12:F",Data!$AM$3)),DATE(2025,MATCH(UPPER($Q$10), {"JAN","FEB","MAR","APR","MAY","JUN","JUL","AUG","SEP","OCT","NOV","DEC"}, 0),(DAY($D35))),INDIRECT(_xlfn.CONCAT("'Order Tracker'!Q12:R",Data!$AM$3))))</f>
        <v>- -</v>
      </c>
      <c r="R35" s="160" t="str">
        <f ca="1">IF(SUMIF(INDIRECT(_xlfn.CONCAT("'Order Tracker'!E12:F",Data!$AM$3)),DATE(2025,MATCH(UPPER($Q$10), {"JAN","FEB","MAR","APR","MAY","JUN","JUL","AUG","SEP","OCT","NOV","DEC"}, 0),(DAY($D35))),INDIRECT(_xlfn.CONCAT("'Order Tracker'!S12:T",Data!$AM$3)))=0,"- -",SUMIF(INDIRECT(_xlfn.CONCAT("'Order Tracker'!E12:F",Data!$AM$3)),DATE(2025,MATCH(UPPER($Q$10), {"JAN","FEB","MAR","APR","MAY","JUN","JUL","AUG","SEP","OCT","NOV","DEC"}, 0),(DAY($D35))),INDIRECT(_xlfn.CONCAT("'Order Tracker'!S12:T",Data!$AM$3))))</f>
        <v>- -</v>
      </c>
      <c r="S35" s="156">
        <f t="shared" ca="1" si="3"/>
        <v>0</v>
      </c>
      <c r="T35" s="10"/>
      <c r="U35" s="160" t="str">
        <f ca="1">IF(SUMIF(INDIRECT(_xlfn.CONCAT("'Order Tracker'!E12:F",Data!$AM$3)),DATE(2025,MATCH(UPPER($U$10), {"JAN","FEB","MAR","APR","MAY","JUN","JUL","AUG","SEP","OCT","NOV","DEC"}, 0),(DAY($D35))),INDIRECT(_xlfn.CONCAT("'Order Tracker'!Q12:R",Data!$AM$3)))=0,"- -",SUMIF(INDIRECT(_xlfn.CONCAT("'Order Tracker'!E12:F",Data!$AM$3)),DATE(2025,MATCH(UPPER($U$10), {"JAN","FEB","MAR","APR","MAY","JUN","JUL","AUG","SEP","OCT","NOV","DEC"}, 0),(DAY($D35))),INDIRECT(_xlfn.CONCAT("'Order Tracker'!Q12:R",Data!$AM$3))))</f>
        <v>- -</v>
      </c>
      <c r="V35" s="160" t="str">
        <f ca="1">IF(SUMIF(INDIRECT(_xlfn.CONCAT("'Order Tracker'!E12:F",Data!$AM$3)),DATE(2025,MATCH(UPPER($U$10), {"JAN","FEB","MAR","APR","MAY","JUN","JUL","AUG","SEP","OCT","NOV","DEC"}, 0),(DAY($D35))),INDIRECT(_xlfn.CONCAT("'Order Tracker'!S12:T",Data!$AM$3)))=0,"- -",SUMIF(INDIRECT(_xlfn.CONCAT("'Order Tracker'!E12:F",Data!$AM$3)),DATE(2025,MATCH(UPPER($U$10), {"JAN","FEB","MAR","APR","MAY","JUN","JUL","AUG","SEP","OCT","NOV","DEC"}, 0),(DAY($D35))),INDIRECT(_xlfn.CONCAT("'Order Tracker'!S12:T",Data!$AM$3))))</f>
        <v>- -</v>
      </c>
      <c r="W35" s="156">
        <f t="shared" ca="1" si="4"/>
        <v>0</v>
      </c>
      <c r="X35" s="10"/>
      <c r="Y35" s="160" t="str">
        <f ca="1">IF(SUMIF(INDIRECT(_xlfn.CONCAT("'Order Tracker'!E12:F",Data!$AM$3)),DATE(2025,MATCH(UPPER($Y$10), {"JAN","FEB","MAR","APR","MAY","JUN","JUL","AUG","SEP","OCT","NOV","DEC"}, 0),(DAY($D35))),INDIRECT(_xlfn.CONCAT("'Order Tracker'!Q12:R",Data!$AM$3)))=0,"- -",SUMIF(INDIRECT(_xlfn.CONCAT("'Order Tracker'!E12:F",Data!$AM$3)),DATE(2025,MATCH(UPPER($Y$10), {"JAN","FEB","MAR","APR","MAY","JUN","JUL","AUG","SEP","OCT","NOV","DEC"}, 0),(DAY($D35))),INDIRECT(_xlfn.CONCAT("'Order Tracker'!Q12:R",Data!$AM$3))))</f>
        <v>- -</v>
      </c>
      <c r="Z35" s="160" t="str">
        <f ca="1">IF(SUMIF(INDIRECT(_xlfn.CONCAT("'Order Tracker'!E12:F",Data!$AM$3)),DATE(2025,MATCH(UPPER($Y$10), {"JAN","FEB","MAR","APR","MAY","JUN","JUL","AUG","SEP","OCT","NOV","DEC"}, 0),(DAY($D35))),INDIRECT(_xlfn.CONCAT("'Order Tracker'!S12:T",Data!$AM$3)))=0,"- -",SUMIF(INDIRECT(_xlfn.CONCAT("'Order Tracker'!E12:F",Data!$AM$3)),DATE(2025,MATCH(UPPER($Y$10), {"JAN","FEB","MAR","APR","MAY","JUN","JUL","AUG","SEP","OCT","NOV","DEC"}, 0),(DAY($D35))),INDIRECT(_xlfn.CONCAT("'Order Tracker'!S12:T",Data!$AM$3))))</f>
        <v>- -</v>
      </c>
      <c r="AA35" s="156">
        <f t="shared" ca="1" si="5"/>
        <v>0</v>
      </c>
      <c r="AB35" s="10"/>
      <c r="AC35" s="160" t="str">
        <f ca="1">IF(SUMIF(INDIRECT(_xlfn.CONCAT("'Order Tracker'!E12:F",Data!$AM$3)),DATE(2025,MATCH(UPPER($AC$10), {"JAN","FEB","MAR","APR","MAY","JUN","JUL","AUG","SEP","OCT","NOV","DEC"}, 0),(DAY($D35))),INDIRECT(_xlfn.CONCAT("'Order Tracker'!Q12:R",Data!$AM$3)))=0,"- -",SUMIF(INDIRECT(_xlfn.CONCAT("'Order Tracker'!E12:F",Data!$AM$3)),DATE(2025,MATCH(UPPER($AC$10), {"JAN","FEB","MAR","APR","MAY","JUN","JUL","AUG","SEP","OCT","NOV","DEC"}, 0),(DAY($D35))),INDIRECT(_xlfn.CONCAT("'Order Tracker'!Q12:R",Data!$AM$3))))</f>
        <v>- -</v>
      </c>
      <c r="AD35" s="160" t="str">
        <f ca="1">IF(SUMIF(INDIRECT(_xlfn.CONCAT("'Order Tracker'!E12:F",Data!$AM$3)),DATE(2025,MATCH(UPPER($AC$10), {"JAN","FEB","MAR","APR","MAY","JUN","JUL","AUG","SEP","OCT","NOV","DEC"}, 0),(DAY($D35))),INDIRECT(_xlfn.CONCAT("'Order Tracker'!S12:T",Data!$AM$3)))=0,"- -",SUMIF(INDIRECT(_xlfn.CONCAT("'Order Tracker'!E12:F",Data!$AM$3)),DATE(2025,MATCH(UPPER($AC$10), {"JAN","FEB","MAR","APR","MAY","JUN","JUL","AUG","SEP","OCT","NOV","DEC"}, 0),(DAY($D35))),INDIRECT(_xlfn.CONCAT("'Order Tracker'!S12:T",Data!$AM$3))))</f>
        <v>- -</v>
      </c>
      <c r="AE35" s="156">
        <f t="shared" ca="1" si="6"/>
        <v>0</v>
      </c>
      <c r="AF35" s="10"/>
      <c r="AG35" s="160" t="str">
        <f ca="1">IF(SUMIF(INDIRECT(_xlfn.CONCAT("'Order Tracker'!E12:F",Data!$AM$3)),DATE(2025,MATCH(UPPER($AG$10), {"JAN","FEB","MAR","APR","MAY","JUN","JUL","AUG","SEP","OCT","NOV","DEC"}, 0),(DAY($D35))),INDIRECT(_xlfn.CONCAT("'Order Tracker'!Q12:R",Data!$AM$3)))=0,"- -",SUMIF(INDIRECT(_xlfn.CONCAT("'Order Tracker'!E12:F",Data!$AM$3)),DATE(2025,MATCH(UPPER($AG$10), {"JAN","FEB","MAR","APR","MAY","JUN","JUL","AUG","SEP","OCT","NOV","DEC"}, 0),(DAY($D35))),INDIRECT(_xlfn.CONCAT("'Order Tracker'!Q12:R",Data!$AM$3))))</f>
        <v>- -</v>
      </c>
      <c r="AH35" s="160" t="str">
        <f ca="1">IF(SUMIF(INDIRECT(_xlfn.CONCAT("'Order Tracker'!E12:F",Data!$AM$3)),DATE(2025,MATCH(UPPER($AG$10), {"JAN","FEB","MAR","APR","MAY","JUN","JUL","AUG","SEP","OCT","NOV","DEC"}, 0),(DAY($D35))),INDIRECT(_xlfn.CONCAT("'Order Tracker'!S12:T",Data!$AM$3)))=0,"- -",SUMIF(INDIRECT(_xlfn.CONCAT("'Order Tracker'!E12:F",Data!$AM$3)),DATE(2025,MATCH(UPPER($AG$10), {"JAN","FEB","MAR","APR","MAY","JUN","JUL","AUG","SEP","OCT","NOV","DEC"}, 0),(DAY($D35))),INDIRECT(_xlfn.CONCAT("'Order Tracker'!S12:T",Data!$AM$3))))</f>
        <v>- -</v>
      </c>
      <c r="AI35" s="156">
        <f t="shared" ca="1" si="7"/>
        <v>0</v>
      </c>
      <c r="AJ35" s="10"/>
      <c r="AK35" s="160" t="str">
        <f ca="1">IF(SUMIF(INDIRECT(_xlfn.CONCAT("'Order Tracker'!E12:F",Data!$AM$3)),DATE(2025,MATCH(UPPER($AK$10), {"JAN","FEB","MAR","APR","MAY","JUN","JUL","AUG","SEP","OCT","NOV","DEC"}, 0),(DAY($D35))),INDIRECT(_xlfn.CONCAT("'Order Tracker'!Q12:R",Data!$AM$3)))=0,"- -",SUMIF(INDIRECT(_xlfn.CONCAT("'Order Tracker'!E12:F",Data!$AM$3)),DATE(2025,MATCH(UPPER($AK$10), {"JAN","FEB","MAR","APR","MAY","JUN","JUL","AUG","SEP","OCT","NOV","DEC"}, 0),(DAY($D35))),INDIRECT(_xlfn.CONCAT("'Order Tracker'!Q12:R",Data!$AM$3))))</f>
        <v>- -</v>
      </c>
      <c r="AL35" s="160" t="str">
        <f ca="1">IF(SUMIF(INDIRECT(_xlfn.CONCAT("'Order Tracker'!E12:F",Data!$AM$3)),DATE(2025,MATCH(UPPER($AK$10), {"JAN","FEB","MAR","APR","MAY","JUN","JUL","AUG","SEP","OCT","NOV","DEC"}, 0),(DAY($D35))),INDIRECT(_xlfn.CONCAT("'Order Tracker'!S12:T",Data!$AM$3)))=0,"- -",SUMIF(INDIRECT(_xlfn.CONCAT("'Order Tracker'!E12:F",Data!$AM$3)),DATE(2025,MATCH(UPPER($AK$10), {"JAN","FEB","MAR","APR","MAY","JUN","JUL","AUG","SEP","OCT","NOV","DEC"}, 0),(DAY($D35))),INDIRECT(_xlfn.CONCAT("'Order Tracker'!S12:T",Data!$AM$3))))</f>
        <v>- -</v>
      </c>
      <c r="AM35" s="156">
        <f t="shared" ca="1" si="8"/>
        <v>0</v>
      </c>
      <c r="AN35" s="10"/>
      <c r="AO35" s="160" t="str">
        <f ca="1">IF(SUMIF(INDIRECT(_xlfn.CONCAT("'Order Tracker'!E12:F",Data!$AM$3)),DATE(2025,MATCH(UPPER($AO$10), {"JAN","FEB","MAR","APR","MAY","JUN","JUL","AUG","SEP","OCT","NOV","DEC"}, 0),(DAY($D35))),INDIRECT(_xlfn.CONCAT("'Order Tracker'!Q12:R",Data!$AM$3)))=0,"- -",SUMIF(INDIRECT(_xlfn.CONCAT("'Order Tracker'!E12:F",Data!$AM$3)),DATE(2025,MATCH(UPPER($AO$10), {"JAN","FEB","MAR","APR","MAY","JUN","JUL","AUG","SEP","OCT","NOV","DEC"}, 0),(DAY($D35))),INDIRECT(_xlfn.CONCAT("'Order Tracker'!Q12:R",Data!$AM$3))))</f>
        <v>- -</v>
      </c>
      <c r="AP35" s="160" t="str">
        <f ca="1">IF(SUMIF(INDIRECT(_xlfn.CONCAT("'Order Tracker'!E12:F",Data!$AM$3)),DATE(2025,MATCH(UPPER($AO$10), {"JAN","FEB","MAR","APR","MAY","JUN","JUL","AUG","SEP","OCT","NOV","DEC"}, 0),(DAY($D35))),INDIRECT(_xlfn.CONCAT("'Order Tracker'!S12:T",Data!$AM$3)))=0,"- -",SUMIF(INDIRECT(_xlfn.CONCAT("'Order Tracker'!E12:F",Data!$AM$3)),DATE(2025,MATCH(UPPER($AO$10), {"JAN","FEB","MAR","APR","MAY","JUN","JUL","AUG","SEP","OCT","NOV","DEC"}, 0),(DAY($D35))),INDIRECT(_xlfn.CONCAT("'Order Tracker'!S12:T",Data!$AM$3))))</f>
        <v>- -</v>
      </c>
      <c r="AQ35" s="156">
        <f t="shared" ca="1" si="9"/>
        <v>0</v>
      </c>
      <c r="AR35" s="10"/>
      <c r="AS35" s="160" t="str">
        <f ca="1">IF(SUMIF(INDIRECT(_xlfn.CONCAT("'Order Tracker'!E12:F",Data!$AM$3)),DATE(2025,MATCH(UPPER($AS$10), {"JAN","FEB","MAR","APR","MAY","JUN","JUL","AUG","SEP","OCT","NOV","DEC"}, 0),(DAY($D35))),INDIRECT(_xlfn.CONCAT("'Order Tracker'!Q12:R",Data!$AM$3)))=0,"- -",SUMIF(INDIRECT(_xlfn.CONCAT("'Order Tracker'!E12:F",Data!$AM$3)),DATE(2025,MATCH(UPPER($AS$10), {"JAN","FEB","MAR","APR","MAY","JUN","JUL","AUG","SEP","OCT","NOV","DEC"}, 0),(DAY($D35))),INDIRECT(_xlfn.CONCAT("'Order Tracker'!Q12:R",Data!$AM$3))))</f>
        <v>- -</v>
      </c>
      <c r="AT35" s="160" t="str">
        <f ca="1">IF(SUMIF(INDIRECT(_xlfn.CONCAT("'Order Tracker'!E12:F",Data!$AM$3)),DATE(2025,MATCH(UPPER($AS$10), {"JAN","FEB","MAR","APR","MAY","JUN","JUL","AUG","SEP","OCT","NOV","DEC"}, 0),(DAY($D35))),INDIRECT(_xlfn.CONCAT("'Order Tracker'!S12:T",Data!$AM$3)))=0,"- -",SUMIF(INDIRECT(_xlfn.CONCAT("'Order Tracker'!E12:F",Data!$AM$3)),DATE(2025,MATCH(UPPER($AS$10), {"JAN","FEB","MAR","APR","MAY","JUN","JUL","AUG","SEP","OCT","NOV","DEC"}, 0),(DAY($D35))),INDIRECT(_xlfn.CONCAT("'Order Tracker'!S12:T",Data!$AM$3))))</f>
        <v>- -</v>
      </c>
      <c r="AU35" s="156">
        <f t="shared" ca="1" si="10"/>
        <v>0</v>
      </c>
      <c r="AV35" s="7"/>
      <c r="AW35" s="160" t="str">
        <f ca="1">IF(SUMIF(INDIRECT(_xlfn.CONCAT("'Order Tracker'!E12:F",Data!$AM$3)),DATE(2025,MATCH(UPPER($AW$10), {"JAN","FEB","MAR","APR","MAY","JUN","JUL","AUG","SEP","OCT","NOV","DEC"}, 0),(DAY($D35))),INDIRECT(_xlfn.CONCAT("'Order Tracker'!Q12:R",Data!$AM$3)))=0,"- -",SUMIF(INDIRECT(_xlfn.CONCAT("'Order Tracker'!E12:F",Data!$AM$3)),DATE(2025,MATCH(UPPER($AW$10), {"JAN","FEB","MAR","APR","MAY","JUN","JUL","AUG","SEP","OCT","NOV","DEC"}, 0),(DAY($D35))),INDIRECT(_xlfn.CONCAT("'Order Tracker'!Q12:R",Data!$AM$3))))</f>
        <v>- -</v>
      </c>
      <c r="AX35" s="160" t="str">
        <f ca="1">IF(SUMIF(INDIRECT(_xlfn.CONCAT("'Order Tracker'!E12:F",Data!$AM$3)),DATE(2025,MATCH(UPPER($AW$10), {"JAN","FEB","MAR","APR","MAY","JUN","JUL","AUG","SEP","OCT","NOV","DEC"}, 0),(DAY($D35))),INDIRECT(_xlfn.CONCAT("'Order Tracker'!S12:T",Data!$AM$3)))=0,"- -",SUMIF(INDIRECT(_xlfn.CONCAT("'Order Tracker'!E12:F",Data!$AM$3)),DATE(2025,MATCH(UPPER($AW$10), {"JAN","FEB","MAR","APR","MAY","JUN","JUL","AUG","SEP","OCT","NOV","DEC"}, 0),(DAY($D35))),INDIRECT(_xlfn.CONCAT("'Order Tracker'!S12:T",Data!$AM$3))))</f>
        <v>- -</v>
      </c>
      <c r="AY35" s="156">
        <f t="shared" ca="1" si="11"/>
        <v>0</v>
      </c>
      <c r="AZ35" s="109"/>
    </row>
    <row r="36" spans="4:52" ht="18" hidden="1" x14ac:dyDescent="0.2">
      <c r="D36" s="151">
        <v>23</v>
      </c>
      <c r="E36" s="160" t="str">
        <f ca="1">IF(SUMIF(INDIRECT(_xlfn.CONCAT("'Order Tracker'!E12:F",Data!$AM$3)),DATE(2025,MATCH(UPPER($E$10), {"JAN","FEB","MAR","APR","MAY","JUN","JUL","AUG","SEP","OCT","NOV","DEC"}, 0),(DAY($D36))),INDIRECT(_xlfn.CONCAT("'Order Tracker'!Q12:R",Data!$AM$3)))=0,"- -",SUMIF(INDIRECT(_xlfn.CONCAT("'Order Tracker'!E12:F",Data!$AM$3)),DATE(2025,MATCH(UPPER($E$10), {"JAN","FEB","MAR","APR","MAY","JUN","JUL","AUG","SEP","OCT","NOV","DEC"}, 0),(DAY($D36))),INDIRECT(_xlfn.CONCAT("'Order Tracker'!Q12:R",Data!$AM$3))))</f>
        <v>- -</v>
      </c>
      <c r="F36" s="160" t="str">
        <f ca="1">IF(SUMIF(INDIRECT(_xlfn.CONCAT("'Order Tracker'!E12:F",Data!$AM$3)),DATE(2025,MATCH(UPPER($E$10), {"JAN","FEB","MAR","APR","MAY","JUN","JUL","AUG","SEP","OCT","NOV","DEC"}, 0),(DAY($D36))),INDIRECT(_xlfn.CONCAT("'Order Tracker'!S12:T",Data!$AM$3)))=0,"- -",SUMIF(INDIRECT(_xlfn.CONCAT("'Order Tracker'!E12:F",Data!$AM$3)),DATE(2025,MATCH(UPPER($E$10), {"JAN","FEB","MAR","APR","MAY","JUN","JUL","AUG","SEP","OCT","NOV","DEC"}, 0),(DAY($D36))),INDIRECT(_xlfn.CONCAT("'Order Tracker'!S12:T",Data!$AM$3))))</f>
        <v>- -</v>
      </c>
      <c r="G36" s="156">
        <f t="shared" ca="1" si="0"/>
        <v>0</v>
      </c>
      <c r="H36" s="10"/>
      <c r="I36" s="160" t="str">
        <f ca="1">IF(SUMIF(INDIRECT(_xlfn.CONCAT("'Order Tracker'!E12:F",Data!$AM$3)),DATE(2025,MATCH(UPPER($I$10), {"JAN","FEB","MAR","APR","MAY","JUN","JUL","AUG","SEP","OCT","NOV","DEC"}, 0),(DAY($D36))),INDIRECT(_xlfn.CONCAT("'Order Tracker'!Q12:R",Data!$AM$3)))=0,"- -",SUMIF(INDIRECT(_xlfn.CONCAT("'Order Tracker'!E12:F",Data!$AM$3)),DATE(2025,MATCH(UPPER($I$10), {"JAN","FEB","MAR","APR","MAY","JUN","JUL","AUG","SEP","OCT","NOV","DEC"}, 0),(DAY($D36))),INDIRECT(_xlfn.CONCAT("'Order Tracker'!Q12:R",Data!$AM$3))))</f>
        <v>- -</v>
      </c>
      <c r="J36" s="160" t="str">
        <f ca="1">IF(SUMIF(INDIRECT(_xlfn.CONCAT("'Order Tracker'!E12:F",Data!$AM$3)),DATE(2025,MATCH(UPPER($I$10), {"JAN","FEB","MAR","APR","MAY","JUN","JUL","AUG","SEP","OCT","NOV","DEC"}, 0),(DAY($D36))),INDIRECT(_xlfn.CONCAT("'Order Tracker'!S12:T",Data!$AM$3)))=0,"- -",SUMIF(INDIRECT(_xlfn.CONCAT("'Order Tracker'!E12:F",Data!$AM$3)),DATE(2025,MATCH(UPPER($I$10), {"JAN","FEB","MAR","APR","MAY","JUN","JUL","AUG","SEP","OCT","NOV","DEC"}, 0),(DAY($D36))),INDIRECT(_xlfn.CONCAT("'Order Tracker'!S12:T",Data!$AM$3))))</f>
        <v>- -</v>
      </c>
      <c r="K36" s="156">
        <f t="shared" ca="1" si="1"/>
        <v>0</v>
      </c>
      <c r="L36" s="10"/>
      <c r="M36" s="160" t="str">
        <f ca="1">IF(SUMIF(INDIRECT(_xlfn.CONCAT("'Order Tracker'!E12:F",Data!$AM$3)),DATE(2025,MATCH(UPPER($M$10), {"JAN","FEB","MAR","APR","MAY","JUN","JUL","AUG","SEP","OCT","NOV","DEC"}, 0),(DAY($D36))),INDIRECT(_xlfn.CONCAT("'Order Tracker'!Q12:R",Data!$AM$3)))=0,"- -",SUMIF(INDIRECT(_xlfn.CONCAT("'Order Tracker'!E12:F",Data!$AM$3)),DATE(2025,MATCH(UPPER($M$10), {"JAN","FEB","MAR","APR","MAY","JUN","JUL","AUG","SEP","OCT","NOV","DEC"}, 0),(DAY($D36))),INDIRECT(_xlfn.CONCAT("'Order Tracker'!Q12:R",Data!$AM$3))))</f>
        <v>- -</v>
      </c>
      <c r="N36" s="160" t="str">
        <f ca="1">IF(SUMIF(INDIRECT(_xlfn.CONCAT("'Order Tracker'!E12:F",Data!$AM$3)),DATE(2025,MATCH(UPPER($M$10), {"JAN","FEB","MAR","APR","MAY","JUN","JUL","AUG","SEP","OCT","NOV","DEC"}, 0),(DAY($D36))),INDIRECT(_xlfn.CONCAT("'Order Tracker'!S12:T",Data!$AM$3)))=0,"- -",SUMIF(INDIRECT(_xlfn.CONCAT("'Order Tracker'!E12:F",Data!$AM$3)),DATE(2025,MATCH(UPPER($M$10), {"JAN","FEB","MAR","APR","MAY","JUN","JUL","AUG","SEP","OCT","NOV","DEC"}, 0),(DAY($D36))),INDIRECT(_xlfn.CONCAT("'Order Tracker'!S12:T",Data!$AM$3))))</f>
        <v>- -</v>
      </c>
      <c r="O36" s="156">
        <f t="shared" ca="1" si="2"/>
        <v>0</v>
      </c>
      <c r="P36" s="10"/>
      <c r="Q36" s="160" t="str">
        <f ca="1">IF(SUMIF(INDIRECT(_xlfn.CONCAT("'Order Tracker'!E12:F",Data!$AM$3)),DATE(2025,MATCH(UPPER($Q$10), {"JAN","FEB","MAR","APR","MAY","JUN","JUL","AUG","SEP","OCT","NOV","DEC"}, 0),(DAY($D36))),INDIRECT(_xlfn.CONCAT("'Order Tracker'!Q12:R",Data!$AM$3)))=0,"- -",SUMIF(INDIRECT(_xlfn.CONCAT("'Order Tracker'!E12:F",Data!$AM$3)),DATE(2025,MATCH(UPPER($Q$10), {"JAN","FEB","MAR","APR","MAY","JUN","JUL","AUG","SEP","OCT","NOV","DEC"}, 0),(DAY($D36))),INDIRECT(_xlfn.CONCAT("'Order Tracker'!Q12:R",Data!$AM$3))))</f>
        <v>- -</v>
      </c>
      <c r="R36" s="160" t="str">
        <f ca="1">IF(SUMIF(INDIRECT(_xlfn.CONCAT("'Order Tracker'!E12:F",Data!$AM$3)),DATE(2025,MATCH(UPPER($Q$10), {"JAN","FEB","MAR","APR","MAY","JUN","JUL","AUG","SEP","OCT","NOV","DEC"}, 0),(DAY($D36))),INDIRECT(_xlfn.CONCAT("'Order Tracker'!S12:T",Data!$AM$3)))=0,"- -",SUMIF(INDIRECT(_xlfn.CONCAT("'Order Tracker'!E12:F",Data!$AM$3)),DATE(2025,MATCH(UPPER($Q$10), {"JAN","FEB","MAR","APR","MAY","JUN","JUL","AUG","SEP","OCT","NOV","DEC"}, 0),(DAY($D36))),INDIRECT(_xlfn.CONCAT("'Order Tracker'!S12:T",Data!$AM$3))))</f>
        <v>- -</v>
      </c>
      <c r="S36" s="156">
        <f t="shared" ca="1" si="3"/>
        <v>0</v>
      </c>
      <c r="T36" s="10"/>
      <c r="U36" s="160" t="str">
        <f ca="1">IF(SUMIF(INDIRECT(_xlfn.CONCAT("'Order Tracker'!E12:F",Data!$AM$3)),DATE(2025,MATCH(UPPER($U$10), {"JAN","FEB","MAR","APR","MAY","JUN","JUL","AUG","SEP","OCT","NOV","DEC"}, 0),(DAY($D36))),INDIRECT(_xlfn.CONCAT("'Order Tracker'!Q12:R",Data!$AM$3)))=0,"- -",SUMIF(INDIRECT(_xlfn.CONCAT("'Order Tracker'!E12:F",Data!$AM$3)),DATE(2025,MATCH(UPPER($U$10), {"JAN","FEB","MAR","APR","MAY","JUN","JUL","AUG","SEP","OCT","NOV","DEC"}, 0),(DAY($D36))),INDIRECT(_xlfn.CONCAT("'Order Tracker'!Q12:R",Data!$AM$3))))</f>
        <v>- -</v>
      </c>
      <c r="V36" s="160" t="str">
        <f ca="1">IF(SUMIF(INDIRECT(_xlfn.CONCAT("'Order Tracker'!E12:F",Data!$AM$3)),DATE(2025,MATCH(UPPER($U$10), {"JAN","FEB","MAR","APR","MAY","JUN","JUL","AUG","SEP","OCT","NOV","DEC"}, 0),(DAY($D36))),INDIRECT(_xlfn.CONCAT("'Order Tracker'!S12:T",Data!$AM$3)))=0,"- -",SUMIF(INDIRECT(_xlfn.CONCAT("'Order Tracker'!E12:F",Data!$AM$3)),DATE(2025,MATCH(UPPER($U$10), {"JAN","FEB","MAR","APR","MAY","JUN","JUL","AUG","SEP","OCT","NOV","DEC"}, 0),(DAY($D36))),INDIRECT(_xlfn.CONCAT("'Order Tracker'!S12:T",Data!$AM$3))))</f>
        <v>- -</v>
      </c>
      <c r="W36" s="156">
        <f t="shared" ca="1" si="4"/>
        <v>0</v>
      </c>
      <c r="X36" s="10"/>
      <c r="Y36" s="160" t="str">
        <f ca="1">IF(SUMIF(INDIRECT(_xlfn.CONCAT("'Order Tracker'!E12:F",Data!$AM$3)),DATE(2025,MATCH(UPPER($Y$10), {"JAN","FEB","MAR","APR","MAY","JUN","JUL","AUG","SEP","OCT","NOV","DEC"}, 0),(DAY($D36))),INDIRECT(_xlfn.CONCAT("'Order Tracker'!Q12:R",Data!$AM$3)))=0,"- -",SUMIF(INDIRECT(_xlfn.CONCAT("'Order Tracker'!E12:F",Data!$AM$3)),DATE(2025,MATCH(UPPER($Y$10), {"JAN","FEB","MAR","APR","MAY","JUN","JUL","AUG","SEP","OCT","NOV","DEC"}, 0),(DAY($D36))),INDIRECT(_xlfn.CONCAT("'Order Tracker'!Q12:R",Data!$AM$3))))</f>
        <v>- -</v>
      </c>
      <c r="Z36" s="160" t="str">
        <f ca="1">IF(SUMIF(INDIRECT(_xlfn.CONCAT("'Order Tracker'!E12:F",Data!$AM$3)),DATE(2025,MATCH(UPPER($Y$10), {"JAN","FEB","MAR","APR","MAY","JUN","JUL","AUG","SEP","OCT","NOV","DEC"}, 0),(DAY($D36))),INDIRECT(_xlfn.CONCAT("'Order Tracker'!S12:T",Data!$AM$3)))=0,"- -",SUMIF(INDIRECT(_xlfn.CONCAT("'Order Tracker'!E12:F",Data!$AM$3)),DATE(2025,MATCH(UPPER($Y$10), {"JAN","FEB","MAR","APR","MAY","JUN","JUL","AUG","SEP","OCT","NOV","DEC"}, 0),(DAY($D36))),INDIRECT(_xlfn.CONCAT("'Order Tracker'!S12:T",Data!$AM$3))))</f>
        <v>- -</v>
      </c>
      <c r="AA36" s="156">
        <f t="shared" ca="1" si="5"/>
        <v>0</v>
      </c>
      <c r="AB36" s="10"/>
      <c r="AC36" s="160" t="str">
        <f ca="1">IF(SUMIF(INDIRECT(_xlfn.CONCAT("'Order Tracker'!E12:F",Data!$AM$3)),DATE(2025,MATCH(UPPER($AC$10), {"JAN","FEB","MAR","APR","MAY","JUN","JUL","AUG","SEP","OCT","NOV","DEC"}, 0),(DAY($D36))),INDIRECT(_xlfn.CONCAT("'Order Tracker'!Q12:R",Data!$AM$3)))=0,"- -",SUMIF(INDIRECT(_xlfn.CONCAT("'Order Tracker'!E12:F",Data!$AM$3)),DATE(2025,MATCH(UPPER($AC$10), {"JAN","FEB","MAR","APR","MAY","JUN","JUL","AUG","SEP","OCT","NOV","DEC"}, 0),(DAY($D36))),INDIRECT(_xlfn.CONCAT("'Order Tracker'!Q12:R",Data!$AM$3))))</f>
        <v>- -</v>
      </c>
      <c r="AD36" s="160" t="str">
        <f ca="1">IF(SUMIF(INDIRECT(_xlfn.CONCAT("'Order Tracker'!E12:F",Data!$AM$3)),DATE(2025,MATCH(UPPER($AC$10), {"JAN","FEB","MAR","APR","MAY","JUN","JUL","AUG","SEP","OCT","NOV","DEC"}, 0),(DAY($D36))),INDIRECT(_xlfn.CONCAT("'Order Tracker'!S12:T",Data!$AM$3)))=0,"- -",SUMIF(INDIRECT(_xlfn.CONCAT("'Order Tracker'!E12:F",Data!$AM$3)),DATE(2025,MATCH(UPPER($AC$10), {"JAN","FEB","MAR","APR","MAY","JUN","JUL","AUG","SEP","OCT","NOV","DEC"}, 0),(DAY($D36))),INDIRECT(_xlfn.CONCAT("'Order Tracker'!S12:T",Data!$AM$3))))</f>
        <v>- -</v>
      </c>
      <c r="AE36" s="156">
        <f t="shared" ca="1" si="6"/>
        <v>0</v>
      </c>
      <c r="AF36" s="10"/>
      <c r="AG36" s="160" t="str">
        <f ca="1">IF(SUMIF(INDIRECT(_xlfn.CONCAT("'Order Tracker'!E12:F",Data!$AM$3)),DATE(2025,MATCH(UPPER($AG$10), {"JAN","FEB","MAR","APR","MAY","JUN","JUL","AUG","SEP","OCT","NOV","DEC"}, 0),(DAY($D36))),INDIRECT(_xlfn.CONCAT("'Order Tracker'!Q12:R",Data!$AM$3)))=0,"- -",SUMIF(INDIRECT(_xlfn.CONCAT("'Order Tracker'!E12:F",Data!$AM$3)),DATE(2025,MATCH(UPPER($AG$10), {"JAN","FEB","MAR","APR","MAY","JUN","JUL","AUG","SEP","OCT","NOV","DEC"}, 0),(DAY($D36))),INDIRECT(_xlfn.CONCAT("'Order Tracker'!Q12:R",Data!$AM$3))))</f>
        <v>- -</v>
      </c>
      <c r="AH36" s="160" t="str">
        <f ca="1">IF(SUMIF(INDIRECT(_xlfn.CONCAT("'Order Tracker'!E12:F",Data!$AM$3)),DATE(2025,MATCH(UPPER($AG$10), {"JAN","FEB","MAR","APR","MAY","JUN","JUL","AUG","SEP","OCT","NOV","DEC"}, 0),(DAY($D36))),INDIRECT(_xlfn.CONCAT("'Order Tracker'!S12:T",Data!$AM$3)))=0,"- -",SUMIF(INDIRECT(_xlfn.CONCAT("'Order Tracker'!E12:F",Data!$AM$3)),DATE(2025,MATCH(UPPER($AG$10), {"JAN","FEB","MAR","APR","MAY","JUN","JUL","AUG","SEP","OCT","NOV","DEC"}, 0),(DAY($D36))),INDIRECT(_xlfn.CONCAT("'Order Tracker'!S12:T",Data!$AM$3))))</f>
        <v>- -</v>
      </c>
      <c r="AI36" s="156">
        <f t="shared" ca="1" si="7"/>
        <v>0</v>
      </c>
      <c r="AJ36" s="10"/>
      <c r="AK36" s="160" t="str">
        <f ca="1">IF(SUMIF(INDIRECT(_xlfn.CONCAT("'Order Tracker'!E12:F",Data!$AM$3)),DATE(2025,MATCH(UPPER($AK$10), {"JAN","FEB","MAR","APR","MAY","JUN","JUL","AUG","SEP","OCT","NOV","DEC"}, 0),(DAY($D36))),INDIRECT(_xlfn.CONCAT("'Order Tracker'!Q12:R",Data!$AM$3)))=0,"- -",SUMIF(INDIRECT(_xlfn.CONCAT("'Order Tracker'!E12:F",Data!$AM$3)),DATE(2025,MATCH(UPPER($AK$10), {"JAN","FEB","MAR","APR","MAY","JUN","JUL","AUG","SEP","OCT","NOV","DEC"}, 0),(DAY($D36))),INDIRECT(_xlfn.CONCAT("'Order Tracker'!Q12:R",Data!$AM$3))))</f>
        <v>- -</v>
      </c>
      <c r="AL36" s="160" t="str">
        <f ca="1">IF(SUMIF(INDIRECT(_xlfn.CONCAT("'Order Tracker'!E12:F",Data!$AM$3)),DATE(2025,MATCH(UPPER($AK$10), {"JAN","FEB","MAR","APR","MAY","JUN","JUL","AUG","SEP","OCT","NOV","DEC"}, 0),(DAY($D36))),INDIRECT(_xlfn.CONCAT("'Order Tracker'!S12:T",Data!$AM$3)))=0,"- -",SUMIF(INDIRECT(_xlfn.CONCAT("'Order Tracker'!E12:F",Data!$AM$3)),DATE(2025,MATCH(UPPER($AK$10), {"JAN","FEB","MAR","APR","MAY","JUN","JUL","AUG","SEP","OCT","NOV","DEC"}, 0),(DAY($D36))),INDIRECT(_xlfn.CONCAT("'Order Tracker'!S12:T",Data!$AM$3))))</f>
        <v>- -</v>
      </c>
      <c r="AM36" s="156">
        <f t="shared" ca="1" si="8"/>
        <v>0</v>
      </c>
      <c r="AN36" s="10"/>
      <c r="AO36" s="160" t="str">
        <f ca="1">IF(SUMIF(INDIRECT(_xlfn.CONCAT("'Order Tracker'!E12:F",Data!$AM$3)),DATE(2025,MATCH(UPPER($AO$10), {"JAN","FEB","MAR","APR","MAY","JUN","JUL","AUG","SEP","OCT","NOV","DEC"}, 0),(DAY($D36))),INDIRECT(_xlfn.CONCAT("'Order Tracker'!Q12:R",Data!$AM$3)))=0,"- -",SUMIF(INDIRECT(_xlfn.CONCAT("'Order Tracker'!E12:F",Data!$AM$3)),DATE(2025,MATCH(UPPER($AO$10), {"JAN","FEB","MAR","APR","MAY","JUN","JUL","AUG","SEP","OCT","NOV","DEC"}, 0),(DAY($D36))),INDIRECT(_xlfn.CONCAT("'Order Tracker'!Q12:R",Data!$AM$3))))</f>
        <v>- -</v>
      </c>
      <c r="AP36" s="160" t="str">
        <f ca="1">IF(SUMIF(INDIRECT(_xlfn.CONCAT("'Order Tracker'!E12:F",Data!$AM$3)),DATE(2025,MATCH(UPPER($AO$10), {"JAN","FEB","MAR","APR","MAY","JUN","JUL","AUG","SEP","OCT","NOV","DEC"}, 0),(DAY($D36))),INDIRECT(_xlfn.CONCAT("'Order Tracker'!S12:T",Data!$AM$3)))=0,"- -",SUMIF(INDIRECT(_xlfn.CONCAT("'Order Tracker'!E12:F",Data!$AM$3)),DATE(2025,MATCH(UPPER($AO$10), {"JAN","FEB","MAR","APR","MAY","JUN","JUL","AUG","SEP","OCT","NOV","DEC"}, 0),(DAY($D36))),INDIRECT(_xlfn.CONCAT("'Order Tracker'!S12:T",Data!$AM$3))))</f>
        <v>- -</v>
      </c>
      <c r="AQ36" s="156">
        <f t="shared" ca="1" si="9"/>
        <v>0</v>
      </c>
      <c r="AR36" s="10"/>
      <c r="AS36" s="160" t="str">
        <f ca="1">IF(SUMIF(INDIRECT(_xlfn.CONCAT("'Order Tracker'!E12:F",Data!$AM$3)),DATE(2025,MATCH(UPPER($AS$10), {"JAN","FEB","MAR","APR","MAY","JUN","JUL","AUG","SEP","OCT","NOV","DEC"}, 0),(DAY($D36))),INDIRECT(_xlfn.CONCAT("'Order Tracker'!Q12:R",Data!$AM$3)))=0,"- -",SUMIF(INDIRECT(_xlfn.CONCAT("'Order Tracker'!E12:F",Data!$AM$3)),DATE(2025,MATCH(UPPER($AS$10), {"JAN","FEB","MAR","APR","MAY","JUN","JUL","AUG","SEP","OCT","NOV","DEC"}, 0),(DAY($D36))),INDIRECT(_xlfn.CONCAT("'Order Tracker'!Q12:R",Data!$AM$3))))</f>
        <v>- -</v>
      </c>
      <c r="AT36" s="160" t="str">
        <f ca="1">IF(SUMIF(INDIRECT(_xlfn.CONCAT("'Order Tracker'!E12:F",Data!$AM$3)),DATE(2025,MATCH(UPPER($AS$10), {"JAN","FEB","MAR","APR","MAY","JUN","JUL","AUG","SEP","OCT","NOV","DEC"}, 0),(DAY($D36))),INDIRECT(_xlfn.CONCAT("'Order Tracker'!S12:T",Data!$AM$3)))=0,"- -",SUMIF(INDIRECT(_xlfn.CONCAT("'Order Tracker'!E12:F",Data!$AM$3)),DATE(2025,MATCH(UPPER($AS$10), {"JAN","FEB","MAR","APR","MAY","JUN","JUL","AUG","SEP","OCT","NOV","DEC"}, 0),(DAY($D36))),INDIRECT(_xlfn.CONCAT("'Order Tracker'!S12:T",Data!$AM$3))))</f>
        <v>- -</v>
      </c>
      <c r="AU36" s="156">
        <f t="shared" ca="1" si="10"/>
        <v>0</v>
      </c>
      <c r="AV36" s="7"/>
      <c r="AW36" s="160" t="str">
        <f ca="1">IF(SUMIF(INDIRECT(_xlfn.CONCAT("'Order Tracker'!E12:F",Data!$AM$3)),DATE(2025,MATCH(UPPER($AW$10), {"JAN","FEB","MAR","APR","MAY","JUN","JUL","AUG","SEP","OCT","NOV","DEC"}, 0),(DAY($D36))),INDIRECT(_xlfn.CONCAT("'Order Tracker'!Q12:R",Data!$AM$3)))=0,"- -",SUMIF(INDIRECT(_xlfn.CONCAT("'Order Tracker'!E12:F",Data!$AM$3)),DATE(2025,MATCH(UPPER($AW$10), {"JAN","FEB","MAR","APR","MAY","JUN","JUL","AUG","SEP","OCT","NOV","DEC"}, 0),(DAY($D36))),INDIRECT(_xlfn.CONCAT("'Order Tracker'!Q12:R",Data!$AM$3))))</f>
        <v>- -</v>
      </c>
      <c r="AX36" s="160" t="str">
        <f ca="1">IF(SUMIF(INDIRECT(_xlfn.CONCAT("'Order Tracker'!E12:F",Data!$AM$3)),DATE(2025,MATCH(UPPER($AW$10), {"JAN","FEB","MAR","APR","MAY","JUN","JUL","AUG","SEP","OCT","NOV","DEC"}, 0),(DAY($D36))),INDIRECT(_xlfn.CONCAT("'Order Tracker'!S12:T",Data!$AM$3)))=0,"- -",SUMIF(INDIRECT(_xlfn.CONCAT("'Order Tracker'!E12:F",Data!$AM$3)),DATE(2025,MATCH(UPPER($AW$10), {"JAN","FEB","MAR","APR","MAY","JUN","JUL","AUG","SEP","OCT","NOV","DEC"}, 0),(DAY($D36))),INDIRECT(_xlfn.CONCAT("'Order Tracker'!S12:T",Data!$AM$3))))</f>
        <v>- -</v>
      </c>
      <c r="AY36" s="156">
        <f t="shared" ca="1" si="11"/>
        <v>0</v>
      </c>
      <c r="AZ36" s="109"/>
    </row>
    <row r="37" spans="4:52" ht="18" hidden="1" x14ac:dyDescent="0.2">
      <c r="D37" s="151">
        <v>24</v>
      </c>
      <c r="E37" s="160" t="str">
        <f ca="1">IF(SUMIF(INDIRECT(_xlfn.CONCAT("'Order Tracker'!E12:F",Data!$AM$3)),DATE(2025,MATCH(UPPER($E$10), {"JAN","FEB","MAR","APR","MAY","JUN","JUL","AUG","SEP","OCT","NOV","DEC"}, 0),(DAY($D37))),INDIRECT(_xlfn.CONCAT("'Order Tracker'!Q12:R",Data!$AM$3)))=0,"- -",SUMIF(INDIRECT(_xlfn.CONCAT("'Order Tracker'!E12:F",Data!$AM$3)),DATE(2025,MATCH(UPPER($E$10), {"JAN","FEB","MAR","APR","MAY","JUN","JUL","AUG","SEP","OCT","NOV","DEC"}, 0),(DAY($D37))),INDIRECT(_xlfn.CONCAT("'Order Tracker'!Q12:R",Data!$AM$3))))</f>
        <v>- -</v>
      </c>
      <c r="F37" s="160" t="str">
        <f ca="1">IF(SUMIF(INDIRECT(_xlfn.CONCAT("'Order Tracker'!E12:F",Data!$AM$3)),DATE(2025,MATCH(UPPER($E$10), {"JAN","FEB","MAR","APR","MAY","JUN","JUL","AUG","SEP","OCT","NOV","DEC"}, 0),(DAY($D37))),INDIRECT(_xlfn.CONCAT("'Order Tracker'!S12:T",Data!$AM$3)))=0,"- -",SUMIF(INDIRECT(_xlfn.CONCAT("'Order Tracker'!E12:F",Data!$AM$3)),DATE(2025,MATCH(UPPER($E$10), {"JAN","FEB","MAR","APR","MAY","JUN","JUL","AUG","SEP","OCT","NOV","DEC"}, 0),(DAY($D37))),INDIRECT(_xlfn.CONCAT("'Order Tracker'!S12:T",Data!$AM$3))))</f>
        <v>- -</v>
      </c>
      <c r="G37" s="156">
        <f t="shared" ca="1" si="0"/>
        <v>0</v>
      </c>
      <c r="H37" s="10"/>
      <c r="I37" s="160" t="str">
        <f ca="1">IF(SUMIF(INDIRECT(_xlfn.CONCAT("'Order Tracker'!E12:F",Data!$AM$3)),DATE(2025,MATCH(UPPER($I$10), {"JAN","FEB","MAR","APR","MAY","JUN","JUL","AUG","SEP","OCT","NOV","DEC"}, 0),(DAY($D37))),INDIRECT(_xlfn.CONCAT("'Order Tracker'!Q12:R",Data!$AM$3)))=0,"- -",SUMIF(INDIRECT(_xlfn.CONCAT("'Order Tracker'!E12:F",Data!$AM$3)),DATE(2025,MATCH(UPPER($I$10), {"JAN","FEB","MAR","APR","MAY","JUN","JUL","AUG","SEP","OCT","NOV","DEC"}, 0),(DAY($D37))),INDIRECT(_xlfn.CONCAT("'Order Tracker'!Q12:R",Data!$AM$3))))</f>
        <v>- -</v>
      </c>
      <c r="J37" s="160" t="str">
        <f ca="1">IF(SUMIF(INDIRECT(_xlfn.CONCAT("'Order Tracker'!E12:F",Data!$AM$3)),DATE(2025,MATCH(UPPER($I$10), {"JAN","FEB","MAR","APR","MAY","JUN","JUL","AUG","SEP","OCT","NOV","DEC"}, 0),(DAY($D37))),INDIRECT(_xlfn.CONCAT("'Order Tracker'!S12:T",Data!$AM$3)))=0,"- -",SUMIF(INDIRECT(_xlfn.CONCAT("'Order Tracker'!E12:F",Data!$AM$3)),DATE(2025,MATCH(UPPER($I$10), {"JAN","FEB","MAR","APR","MAY","JUN","JUL","AUG","SEP","OCT","NOV","DEC"}, 0),(DAY($D37))),INDIRECT(_xlfn.CONCAT("'Order Tracker'!S12:T",Data!$AM$3))))</f>
        <v>- -</v>
      </c>
      <c r="K37" s="156">
        <f t="shared" ca="1" si="1"/>
        <v>0</v>
      </c>
      <c r="L37" s="10"/>
      <c r="M37" s="160" t="str">
        <f ca="1">IF(SUMIF(INDIRECT(_xlfn.CONCAT("'Order Tracker'!E12:F",Data!$AM$3)),DATE(2025,MATCH(UPPER($M$10), {"JAN","FEB","MAR","APR","MAY","JUN","JUL","AUG","SEP","OCT","NOV","DEC"}, 0),(DAY($D37))),INDIRECT(_xlfn.CONCAT("'Order Tracker'!Q12:R",Data!$AM$3)))=0,"- -",SUMIF(INDIRECT(_xlfn.CONCAT("'Order Tracker'!E12:F",Data!$AM$3)),DATE(2025,MATCH(UPPER($M$10), {"JAN","FEB","MAR","APR","MAY","JUN","JUL","AUG","SEP","OCT","NOV","DEC"}, 0),(DAY($D37))),INDIRECT(_xlfn.CONCAT("'Order Tracker'!Q12:R",Data!$AM$3))))</f>
        <v>- -</v>
      </c>
      <c r="N37" s="160" t="str">
        <f ca="1">IF(SUMIF(INDIRECT(_xlfn.CONCAT("'Order Tracker'!E12:F",Data!$AM$3)),DATE(2025,MATCH(UPPER($M$10), {"JAN","FEB","MAR","APR","MAY","JUN","JUL","AUG","SEP","OCT","NOV","DEC"}, 0),(DAY($D37))),INDIRECT(_xlfn.CONCAT("'Order Tracker'!S12:T",Data!$AM$3)))=0,"- -",SUMIF(INDIRECT(_xlfn.CONCAT("'Order Tracker'!E12:F",Data!$AM$3)),DATE(2025,MATCH(UPPER($M$10), {"JAN","FEB","MAR","APR","MAY","JUN","JUL","AUG","SEP","OCT","NOV","DEC"}, 0),(DAY($D37))),INDIRECT(_xlfn.CONCAT("'Order Tracker'!S12:T",Data!$AM$3))))</f>
        <v>- -</v>
      </c>
      <c r="O37" s="156">
        <f t="shared" ca="1" si="2"/>
        <v>0</v>
      </c>
      <c r="P37" s="10"/>
      <c r="Q37" s="160" t="str">
        <f ca="1">IF(SUMIF(INDIRECT(_xlfn.CONCAT("'Order Tracker'!E12:F",Data!$AM$3)),DATE(2025,MATCH(UPPER($Q$10), {"JAN","FEB","MAR","APR","MAY","JUN","JUL","AUG","SEP","OCT","NOV","DEC"}, 0),(DAY($D37))),INDIRECT(_xlfn.CONCAT("'Order Tracker'!Q12:R",Data!$AM$3)))=0,"- -",SUMIF(INDIRECT(_xlfn.CONCAT("'Order Tracker'!E12:F",Data!$AM$3)),DATE(2025,MATCH(UPPER($Q$10), {"JAN","FEB","MAR","APR","MAY","JUN","JUL","AUG","SEP","OCT","NOV","DEC"}, 0),(DAY($D37))),INDIRECT(_xlfn.CONCAT("'Order Tracker'!Q12:R",Data!$AM$3))))</f>
        <v>- -</v>
      </c>
      <c r="R37" s="160" t="str">
        <f ca="1">IF(SUMIF(INDIRECT(_xlfn.CONCAT("'Order Tracker'!E12:F",Data!$AM$3)),DATE(2025,MATCH(UPPER($Q$10), {"JAN","FEB","MAR","APR","MAY","JUN","JUL","AUG","SEP","OCT","NOV","DEC"}, 0),(DAY($D37))),INDIRECT(_xlfn.CONCAT("'Order Tracker'!S12:T",Data!$AM$3)))=0,"- -",SUMIF(INDIRECT(_xlfn.CONCAT("'Order Tracker'!E12:F",Data!$AM$3)),DATE(2025,MATCH(UPPER($Q$10), {"JAN","FEB","MAR","APR","MAY","JUN","JUL","AUG","SEP","OCT","NOV","DEC"}, 0),(DAY($D37))),INDIRECT(_xlfn.CONCAT("'Order Tracker'!S12:T",Data!$AM$3))))</f>
        <v>- -</v>
      </c>
      <c r="S37" s="156">
        <f t="shared" ca="1" si="3"/>
        <v>0</v>
      </c>
      <c r="T37" s="10"/>
      <c r="U37" s="160" t="str">
        <f ca="1">IF(SUMIF(INDIRECT(_xlfn.CONCAT("'Order Tracker'!E12:F",Data!$AM$3)),DATE(2025,MATCH(UPPER($U$10), {"JAN","FEB","MAR","APR","MAY","JUN","JUL","AUG","SEP","OCT","NOV","DEC"}, 0),(DAY($D37))),INDIRECT(_xlfn.CONCAT("'Order Tracker'!Q12:R",Data!$AM$3)))=0,"- -",SUMIF(INDIRECT(_xlfn.CONCAT("'Order Tracker'!E12:F",Data!$AM$3)),DATE(2025,MATCH(UPPER($U$10), {"JAN","FEB","MAR","APR","MAY","JUN","JUL","AUG","SEP","OCT","NOV","DEC"}, 0),(DAY($D37))),INDIRECT(_xlfn.CONCAT("'Order Tracker'!Q12:R",Data!$AM$3))))</f>
        <v>- -</v>
      </c>
      <c r="V37" s="160" t="str">
        <f ca="1">IF(SUMIF(INDIRECT(_xlfn.CONCAT("'Order Tracker'!E12:F",Data!$AM$3)),DATE(2025,MATCH(UPPER($U$10), {"JAN","FEB","MAR","APR","MAY","JUN","JUL","AUG","SEP","OCT","NOV","DEC"}, 0),(DAY($D37))),INDIRECT(_xlfn.CONCAT("'Order Tracker'!S12:T",Data!$AM$3)))=0,"- -",SUMIF(INDIRECT(_xlfn.CONCAT("'Order Tracker'!E12:F",Data!$AM$3)),DATE(2025,MATCH(UPPER($U$10), {"JAN","FEB","MAR","APR","MAY","JUN","JUL","AUG","SEP","OCT","NOV","DEC"}, 0),(DAY($D37))),INDIRECT(_xlfn.CONCAT("'Order Tracker'!S12:T",Data!$AM$3))))</f>
        <v>- -</v>
      </c>
      <c r="W37" s="156">
        <f t="shared" ca="1" si="4"/>
        <v>0</v>
      </c>
      <c r="X37" s="10"/>
      <c r="Y37" s="160" t="str">
        <f ca="1">IF(SUMIF(INDIRECT(_xlfn.CONCAT("'Order Tracker'!E12:F",Data!$AM$3)),DATE(2025,MATCH(UPPER($Y$10), {"JAN","FEB","MAR","APR","MAY","JUN","JUL","AUG","SEP","OCT","NOV","DEC"}, 0),(DAY($D37))),INDIRECT(_xlfn.CONCAT("'Order Tracker'!Q12:R",Data!$AM$3)))=0,"- -",SUMIF(INDIRECT(_xlfn.CONCAT("'Order Tracker'!E12:F",Data!$AM$3)),DATE(2025,MATCH(UPPER($Y$10), {"JAN","FEB","MAR","APR","MAY","JUN","JUL","AUG","SEP","OCT","NOV","DEC"}, 0),(DAY($D37))),INDIRECT(_xlfn.CONCAT("'Order Tracker'!Q12:R",Data!$AM$3))))</f>
        <v>- -</v>
      </c>
      <c r="Z37" s="160" t="str">
        <f ca="1">IF(SUMIF(INDIRECT(_xlfn.CONCAT("'Order Tracker'!E12:F",Data!$AM$3)),DATE(2025,MATCH(UPPER($Y$10), {"JAN","FEB","MAR","APR","MAY","JUN","JUL","AUG","SEP","OCT","NOV","DEC"}, 0),(DAY($D37))),INDIRECT(_xlfn.CONCAT("'Order Tracker'!S12:T",Data!$AM$3)))=0,"- -",SUMIF(INDIRECT(_xlfn.CONCAT("'Order Tracker'!E12:F",Data!$AM$3)),DATE(2025,MATCH(UPPER($Y$10), {"JAN","FEB","MAR","APR","MAY","JUN","JUL","AUG","SEP","OCT","NOV","DEC"}, 0),(DAY($D37))),INDIRECT(_xlfn.CONCAT("'Order Tracker'!S12:T",Data!$AM$3))))</f>
        <v>- -</v>
      </c>
      <c r="AA37" s="156">
        <f t="shared" ca="1" si="5"/>
        <v>0</v>
      </c>
      <c r="AB37" s="10"/>
      <c r="AC37" s="160" t="str">
        <f ca="1">IF(SUMIF(INDIRECT(_xlfn.CONCAT("'Order Tracker'!E12:F",Data!$AM$3)),DATE(2025,MATCH(UPPER($AC$10), {"JAN","FEB","MAR","APR","MAY","JUN","JUL","AUG","SEP","OCT","NOV","DEC"}, 0),(DAY($D37))),INDIRECT(_xlfn.CONCAT("'Order Tracker'!Q12:R",Data!$AM$3)))=0,"- -",SUMIF(INDIRECT(_xlfn.CONCAT("'Order Tracker'!E12:F",Data!$AM$3)),DATE(2025,MATCH(UPPER($AC$10), {"JAN","FEB","MAR","APR","MAY","JUN","JUL","AUG","SEP","OCT","NOV","DEC"}, 0),(DAY($D37))),INDIRECT(_xlfn.CONCAT("'Order Tracker'!Q12:R",Data!$AM$3))))</f>
        <v>- -</v>
      </c>
      <c r="AD37" s="160" t="str">
        <f ca="1">IF(SUMIF(INDIRECT(_xlfn.CONCAT("'Order Tracker'!E12:F",Data!$AM$3)),DATE(2025,MATCH(UPPER($AC$10), {"JAN","FEB","MAR","APR","MAY","JUN","JUL","AUG","SEP","OCT","NOV","DEC"}, 0),(DAY($D37))),INDIRECT(_xlfn.CONCAT("'Order Tracker'!S12:T",Data!$AM$3)))=0,"- -",SUMIF(INDIRECT(_xlfn.CONCAT("'Order Tracker'!E12:F",Data!$AM$3)),DATE(2025,MATCH(UPPER($AC$10), {"JAN","FEB","MAR","APR","MAY","JUN","JUL","AUG","SEP","OCT","NOV","DEC"}, 0),(DAY($D37))),INDIRECT(_xlfn.CONCAT("'Order Tracker'!S12:T",Data!$AM$3))))</f>
        <v>- -</v>
      </c>
      <c r="AE37" s="156">
        <f t="shared" ca="1" si="6"/>
        <v>0</v>
      </c>
      <c r="AF37" s="10"/>
      <c r="AG37" s="160" t="str">
        <f ca="1">IF(SUMIF(INDIRECT(_xlfn.CONCAT("'Order Tracker'!E12:F",Data!$AM$3)),DATE(2025,MATCH(UPPER($AG$10), {"JAN","FEB","MAR","APR","MAY","JUN","JUL","AUG","SEP","OCT","NOV","DEC"}, 0),(DAY($D37))),INDIRECT(_xlfn.CONCAT("'Order Tracker'!Q12:R",Data!$AM$3)))=0,"- -",SUMIF(INDIRECT(_xlfn.CONCAT("'Order Tracker'!E12:F",Data!$AM$3)),DATE(2025,MATCH(UPPER($AG$10), {"JAN","FEB","MAR","APR","MAY","JUN","JUL","AUG","SEP","OCT","NOV","DEC"}, 0),(DAY($D37))),INDIRECT(_xlfn.CONCAT("'Order Tracker'!Q12:R",Data!$AM$3))))</f>
        <v>- -</v>
      </c>
      <c r="AH37" s="160" t="str">
        <f ca="1">IF(SUMIF(INDIRECT(_xlfn.CONCAT("'Order Tracker'!E12:F",Data!$AM$3)),DATE(2025,MATCH(UPPER($AG$10), {"JAN","FEB","MAR","APR","MAY","JUN","JUL","AUG","SEP","OCT","NOV","DEC"}, 0),(DAY($D37))),INDIRECT(_xlfn.CONCAT("'Order Tracker'!S12:T",Data!$AM$3)))=0,"- -",SUMIF(INDIRECT(_xlfn.CONCAT("'Order Tracker'!E12:F",Data!$AM$3)),DATE(2025,MATCH(UPPER($AG$10), {"JAN","FEB","MAR","APR","MAY","JUN","JUL","AUG","SEP","OCT","NOV","DEC"}, 0),(DAY($D37))),INDIRECT(_xlfn.CONCAT("'Order Tracker'!S12:T",Data!$AM$3))))</f>
        <v>- -</v>
      </c>
      <c r="AI37" s="156">
        <f t="shared" ca="1" si="7"/>
        <v>0</v>
      </c>
      <c r="AJ37" s="10"/>
      <c r="AK37" s="160" t="str">
        <f ca="1">IF(SUMIF(INDIRECT(_xlfn.CONCAT("'Order Tracker'!E12:F",Data!$AM$3)),DATE(2025,MATCH(UPPER($AK$10), {"JAN","FEB","MAR","APR","MAY","JUN","JUL","AUG","SEP","OCT","NOV","DEC"}, 0),(DAY($D37))),INDIRECT(_xlfn.CONCAT("'Order Tracker'!Q12:R",Data!$AM$3)))=0,"- -",SUMIF(INDIRECT(_xlfn.CONCAT("'Order Tracker'!E12:F",Data!$AM$3)),DATE(2025,MATCH(UPPER($AK$10), {"JAN","FEB","MAR","APR","MAY","JUN","JUL","AUG","SEP","OCT","NOV","DEC"}, 0),(DAY($D37))),INDIRECT(_xlfn.CONCAT("'Order Tracker'!Q12:R",Data!$AM$3))))</f>
        <v>- -</v>
      </c>
      <c r="AL37" s="160" t="str">
        <f ca="1">IF(SUMIF(INDIRECT(_xlfn.CONCAT("'Order Tracker'!E12:F",Data!$AM$3)),DATE(2025,MATCH(UPPER($AK$10), {"JAN","FEB","MAR","APR","MAY","JUN","JUL","AUG","SEP","OCT","NOV","DEC"}, 0),(DAY($D37))),INDIRECT(_xlfn.CONCAT("'Order Tracker'!S12:T",Data!$AM$3)))=0,"- -",SUMIF(INDIRECT(_xlfn.CONCAT("'Order Tracker'!E12:F",Data!$AM$3)),DATE(2025,MATCH(UPPER($AK$10), {"JAN","FEB","MAR","APR","MAY","JUN","JUL","AUG","SEP","OCT","NOV","DEC"}, 0),(DAY($D37))),INDIRECT(_xlfn.CONCAT("'Order Tracker'!S12:T",Data!$AM$3))))</f>
        <v>- -</v>
      </c>
      <c r="AM37" s="156">
        <f t="shared" ca="1" si="8"/>
        <v>0</v>
      </c>
      <c r="AN37" s="10"/>
      <c r="AO37" s="160" t="str">
        <f ca="1">IF(SUMIF(INDIRECT(_xlfn.CONCAT("'Order Tracker'!E12:F",Data!$AM$3)),DATE(2025,MATCH(UPPER($AO$10), {"JAN","FEB","MAR","APR","MAY","JUN","JUL","AUG","SEP","OCT","NOV","DEC"}, 0),(DAY($D37))),INDIRECT(_xlfn.CONCAT("'Order Tracker'!Q12:R",Data!$AM$3)))=0,"- -",SUMIF(INDIRECT(_xlfn.CONCAT("'Order Tracker'!E12:F",Data!$AM$3)),DATE(2025,MATCH(UPPER($AO$10), {"JAN","FEB","MAR","APR","MAY","JUN","JUL","AUG","SEP","OCT","NOV","DEC"}, 0),(DAY($D37))),INDIRECT(_xlfn.CONCAT("'Order Tracker'!Q12:R",Data!$AM$3))))</f>
        <v>- -</v>
      </c>
      <c r="AP37" s="160" t="str">
        <f ca="1">IF(SUMIF(INDIRECT(_xlfn.CONCAT("'Order Tracker'!E12:F",Data!$AM$3)),DATE(2025,MATCH(UPPER($AO$10), {"JAN","FEB","MAR","APR","MAY","JUN","JUL","AUG","SEP","OCT","NOV","DEC"}, 0),(DAY($D37))),INDIRECT(_xlfn.CONCAT("'Order Tracker'!S12:T",Data!$AM$3)))=0,"- -",SUMIF(INDIRECT(_xlfn.CONCAT("'Order Tracker'!E12:F",Data!$AM$3)),DATE(2025,MATCH(UPPER($AO$10), {"JAN","FEB","MAR","APR","MAY","JUN","JUL","AUG","SEP","OCT","NOV","DEC"}, 0),(DAY($D37))),INDIRECT(_xlfn.CONCAT("'Order Tracker'!S12:T",Data!$AM$3))))</f>
        <v>- -</v>
      </c>
      <c r="AQ37" s="156">
        <f t="shared" ca="1" si="9"/>
        <v>0</v>
      </c>
      <c r="AR37" s="10"/>
      <c r="AS37" s="160" t="str">
        <f ca="1">IF(SUMIF(INDIRECT(_xlfn.CONCAT("'Order Tracker'!E12:F",Data!$AM$3)),DATE(2025,MATCH(UPPER($AS$10), {"JAN","FEB","MAR","APR","MAY","JUN","JUL","AUG","SEP","OCT","NOV","DEC"}, 0),(DAY($D37))),INDIRECT(_xlfn.CONCAT("'Order Tracker'!Q12:R",Data!$AM$3)))=0,"- -",SUMIF(INDIRECT(_xlfn.CONCAT("'Order Tracker'!E12:F",Data!$AM$3)),DATE(2025,MATCH(UPPER($AS$10), {"JAN","FEB","MAR","APR","MAY","JUN","JUL","AUG","SEP","OCT","NOV","DEC"}, 0),(DAY($D37))),INDIRECT(_xlfn.CONCAT("'Order Tracker'!Q12:R",Data!$AM$3))))</f>
        <v>- -</v>
      </c>
      <c r="AT37" s="160" t="str">
        <f ca="1">IF(SUMIF(INDIRECT(_xlfn.CONCAT("'Order Tracker'!E12:F",Data!$AM$3)),DATE(2025,MATCH(UPPER($AS$10), {"JAN","FEB","MAR","APR","MAY","JUN","JUL","AUG","SEP","OCT","NOV","DEC"}, 0),(DAY($D37))),INDIRECT(_xlfn.CONCAT("'Order Tracker'!S12:T",Data!$AM$3)))=0,"- -",SUMIF(INDIRECT(_xlfn.CONCAT("'Order Tracker'!E12:F",Data!$AM$3)),DATE(2025,MATCH(UPPER($AS$10), {"JAN","FEB","MAR","APR","MAY","JUN","JUL","AUG","SEP","OCT","NOV","DEC"}, 0),(DAY($D37))),INDIRECT(_xlfn.CONCAT("'Order Tracker'!S12:T",Data!$AM$3))))</f>
        <v>- -</v>
      </c>
      <c r="AU37" s="156">
        <f t="shared" ca="1" si="10"/>
        <v>0</v>
      </c>
      <c r="AV37" s="7"/>
      <c r="AW37" s="160" t="str">
        <f ca="1">IF(SUMIF(INDIRECT(_xlfn.CONCAT("'Order Tracker'!E12:F",Data!$AM$3)),DATE(2025,MATCH(UPPER($AW$10), {"JAN","FEB","MAR","APR","MAY","JUN","JUL","AUG","SEP","OCT","NOV","DEC"}, 0),(DAY($D37))),INDIRECT(_xlfn.CONCAT("'Order Tracker'!Q12:R",Data!$AM$3)))=0,"- -",SUMIF(INDIRECT(_xlfn.CONCAT("'Order Tracker'!E12:F",Data!$AM$3)),DATE(2025,MATCH(UPPER($AW$10), {"JAN","FEB","MAR","APR","MAY","JUN","JUL","AUG","SEP","OCT","NOV","DEC"}, 0),(DAY($D37))),INDIRECT(_xlfn.CONCAT("'Order Tracker'!Q12:R",Data!$AM$3))))</f>
        <v>- -</v>
      </c>
      <c r="AX37" s="160" t="str">
        <f ca="1">IF(SUMIF(INDIRECT(_xlfn.CONCAT("'Order Tracker'!E12:F",Data!$AM$3)),DATE(2025,MATCH(UPPER($AW$10), {"JAN","FEB","MAR","APR","MAY","JUN","JUL","AUG","SEP","OCT","NOV","DEC"}, 0),(DAY($D37))),INDIRECT(_xlfn.CONCAT("'Order Tracker'!S12:T",Data!$AM$3)))=0,"- -",SUMIF(INDIRECT(_xlfn.CONCAT("'Order Tracker'!E12:F",Data!$AM$3)),DATE(2025,MATCH(UPPER($AW$10), {"JAN","FEB","MAR","APR","MAY","JUN","JUL","AUG","SEP","OCT","NOV","DEC"}, 0),(DAY($D37))),INDIRECT(_xlfn.CONCAT("'Order Tracker'!S12:T",Data!$AM$3))))</f>
        <v>- -</v>
      </c>
      <c r="AY37" s="156">
        <f t="shared" ca="1" si="11"/>
        <v>0</v>
      </c>
      <c r="AZ37" s="109"/>
    </row>
    <row r="38" spans="4:52" ht="18" hidden="1" x14ac:dyDescent="0.2">
      <c r="D38" s="151">
        <v>25</v>
      </c>
      <c r="E38" s="160" t="str">
        <f ca="1">IF(SUMIF(INDIRECT(_xlfn.CONCAT("'Order Tracker'!E12:F",Data!$AM$3)),DATE(2025,MATCH(UPPER($E$10), {"JAN","FEB","MAR","APR","MAY","JUN","JUL","AUG","SEP","OCT","NOV","DEC"}, 0),(DAY($D38))),INDIRECT(_xlfn.CONCAT("'Order Tracker'!Q12:R",Data!$AM$3)))=0,"- -",SUMIF(INDIRECT(_xlfn.CONCAT("'Order Tracker'!E12:F",Data!$AM$3)),DATE(2025,MATCH(UPPER($E$10), {"JAN","FEB","MAR","APR","MAY","JUN","JUL","AUG","SEP","OCT","NOV","DEC"}, 0),(DAY($D38))),INDIRECT(_xlfn.CONCAT("'Order Tracker'!Q12:R",Data!$AM$3))))</f>
        <v>- -</v>
      </c>
      <c r="F38" s="160" t="str">
        <f ca="1">IF(SUMIF(INDIRECT(_xlfn.CONCAT("'Order Tracker'!E12:F",Data!$AM$3)),DATE(2025,MATCH(UPPER($E$10), {"JAN","FEB","MAR","APR","MAY","JUN","JUL","AUG","SEP","OCT","NOV","DEC"}, 0),(DAY($D38))),INDIRECT(_xlfn.CONCAT("'Order Tracker'!S12:T",Data!$AM$3)))=0,"- -",SUMIF(INDIRECT(_xlfn.CONCAT("'Order Tracker'!E12:F",Data!$AM$3)),DATE(2025,MATCH(UPPER($E$10), {"JAN","FEB","MAR","APR","MAY","JUN","JUL","AUG","SEP","OCT","NOV","DEC"}, 0),(DAY($D38))),INDIRECT(_xlfn.CONCAT("'Order Tracker'!S12:T",Data!$AM$3))))</f>
        <v>- -</v>
      </c>
      <c r="G38" s="156">
        <f t="shared" ca="1" si="0"/>
        <v>0</v>
      </c>
      <c r="H38" s="10"/>
      <c r="I38" s="160" t="str">
        <f ca="1">IF(SUMIF(INDIRECT(_xlfn.CONCAT("'Order Tracker'!E12:F",Data!$AM$3)),DATE(2025,MATCH(UPPER($I$10), {"JAN","FEB","MAR","APR","MAY","JUN","JUL","AUG","SEP","OCT","NOV","DEC"}, 0),(DAY($D38))),INDIRECT(_xlfn.CONCAT("'Order Tracker'!Q12:R",Data!$AM$3)))=0,"- -",SUMIF(INDIRECT(_xlfn.CONCAT("'Order Tracker'!E12:F",Data!$AM$3)),DATE(2025,MATCH(UPPER($I$10), {"JAN","FEB","MAR","APR","MAY","JUN","JUL","AUG","SEP","OCT","NOV","DEC"}, 0),(DAY($D38))),INDIRECT(_xlfn.CONCAT("'Order Tracker'!Q12:R",Data!$AM$3))))</f>
        <v>- -</v>
      </c>
      <c r="J38" s="160" t="str">
        <f ca="1">IF(SUMIF(INDIRECT(_xlfn.CONCAT("'Order Tracker'!E12:F",Data!$AM$3)),DATE(2025,MATCH(UPPER($I$10), {"JAN","FEB","MAR","APR","MAY","JUN","JUL","AUG","SEP","OCT","NOV","DEC"}, 0),(DAY($D38))),INDIRECT(_xlfn.CONCAT("'Order Tracker'!S12:T",Data!$AM$3)))=0,"- -",SUMIF(INDIRECT(_xlfn.CONCAT("'Order Tracker'!E12:F",Data!$AM$3)),DATE(2025,MATCH(UPPER($I$10), {"JAN","FEB","MAR","APR","MAY","JUN","JUL","AUG","SEP","OCT","NOV","DEC"}, 0),(DAY($D38))),INDIRECT(_xlfn.CONCAT("'Order Tracker'!S12:T",Data!$AM$3))))</f>
        <v>- -</v>
      </c>
      <c r="K38" s="156">
        <f t="shared" ca="1" si="1"/>
        <v>0</v>
      </c>
      <c r="L38" s="10"/>
      <c r="M38" s="160" t="str">
        <f ca="1">IF(SUMIF(INDIRECT(_xlfn.CONCAT("'Order Tracker'!E12:F",Data!$AM$3)),DATE(2025,MATCH(UPPER($M$10), {"JAN","FEB","MAR","APR","MAY","JUN","JUL","AUG","SEP","OCT","NOV","DEC"}, 0),(DAY($D38))),INDIRECT(_xlfn.CONCAT("'Order Tracker'!Q12:R",Data!$AM$3)))=0,"- -",SUMIF(INDIRECT(_xlfn.CONCAT("'Order Tracker'!E12:F",Data!$AM$3)),DATE(2025,MATCH(UPPER($M$10), {"JAN","FEB","MAR","APR","MAY","JUN","JUL","AUG","SEP","OCT","NOV","DEC"}, 0),(DAY($D38))),INDIRECT(_xlfn.CONCAT("'Order Tracker'!Q12:R",Data!$AM$3))))</f>
        <v>- -</v>
      </c>
      <c r="N38" s="160" t="str">
        <f ca="1">IF(SUMIF(INDIRECT(_xlfn.CONCAT("'Order Tracker'!E12:F",Data!$AM$3)),DATE(2025,MATCH(UPPER($M$10), {"JAN","FEB","MAR","APR","MAY","JUN","JUL","AUG","SEP","OCT","NOV","DEC"}, 0),(DAY($D38))),INDIRECT(_xlfn.CONCAT("'Order Tracker'!S12:T",Data!$AM$3)))=0,"- -",SUMIF(INDIRECT(_xlfn.CONCAT("'Order Tracker'!E12:F",Data!$AM$3)),DATE(2025,MATCH(UPPER($M$10), {"JAN","FEB","MAR","APR","MAY","JUN","JUL","AUG","SEP","OCT","NOV","DEC"}, 0),(DAY($D38))),INDIRECT(_xlfn.CONCAT("'Order Tracker'!S12:T",Data!$AM$3))))</f>
        <v>- -</v>
      </c>
      <c r="O38" s="156">
        <f t="shared" ca="1" si="2"/>
        <v>0</v>
      </c>
      <c r="P38" s="10"/>
      <c r="Q38" s="160" t="str">
        <f ca="1">IF(SUMIF(INDIRECT(_xlfn.CONCAT("'Order Tracker'!E12:F",Data!$AM$3)),DATE(2025,MATCH(UPPER($Q$10), {"JAN","FEB","MAR","APR","MAY","JUN","JUL","AUG","SEP","OCT","NOV","DEC"}, 0),(DAY($D38))),INDIRECT(_xlfn.CONCAT("'Order Tracker'!Q12:R",Data!$AM$3)))=0,"- -",SUMIF(INDIRECT(_xlfn.CONCAT("'Order Tracker'!E12:F",Data!$AM$3)),DATE(2025,MATCH(UPPER($Q$10), {"JAN","FEB","MAR","APR","MAY","JUN","JUL","AUG","SEP","OCT","NOV","DEC"}, 0),(DAY($D38))),INDIRECT(_xlfn.CONCAT("'Order Tracker'!Q12:R",Data!$AM$3))))</f>
        <v>- -</v>
      </c>
      <c r="R38" s="160" t="str">
        <f ca="1">IF(SUMIF(INDIRECT(_xlfn.CONCAT("'Order Tracker'!E12:F",Data!$AM$3)),DATE(2025,MATCH(UPPER($Q$10), {"JAN","FEB","MAR","APR","MAY","JUN","JUL","AUG","SEP","OCT","NOV","DEC"}, 0),(DAY($D38))),INDIRECT(_xlfn.CONCAT("'Order Tracker'!S12:T",Data!$AM$3)))=0,"- -",SUMIF(INDIRECT(_xlfn.CONCAT("'Order Tracker'!E12:F",Data!$AM$3)),DATE(2025,MATCH(UPPER($Q$10), {"JAN","FEB","MAR","APR","MAY","JUN","JUL","AUG","SEP","OCT","NOV","DEC"}, 0),(DAY($D38))),INDIRECT(_xlfn.CONCAT("'Order Tracker'!S12:T",Data!$AM$3))))</f>
        <v>- -</v>
      </c>
      <c r="S38" s="156">
        <f t="shared" ca="1" si="3"/>
        <v>0</v>
      </c>
      <c r="T38" s="10"/>
      <c r="U38" s="160" t="str">
        <f ca="1">IF(SUMIF(INDIRECT(_xlfn.CONCAT("'Order Tracker'!E12:F",Data!$AM$3)),DATE(2025,MATCH(UPPER($U$10), {"JAN","FEB","MAR","APR","MAY","JUN","JUL","AUG","SEP","OCT","NOV","DEC"}, 0),(DAY($D38))),INDIRECT(_xlfn.CONCAT("'Order Tracker'!Q12:R",Data!$AM$3)))=0,"- -",SUMIF(INDIRECT(_xlfn.CONCAT("'Order Tracker'!E12:F",Data!$AM$3)),DATE(2025,MATCH(UPPER($U$10), {"JAN","FEB","MAR","APR","MAY","JUN","JUL","AUG","SEP","OCT","NOV","DEC"}, 0),(DAY($D38))),INDIRECT(_xlfn.CONCAT("'Order Tracker'!Q12:R",Data!$AM$3))))</f>
        <v>- -</v>
      </c>
      <c r="V38" s="160" t="str">
        <f ca="1">IF(SUMIF(INDIRECT(_xlfn.CONCAT("'Order Tracker'!E12:F",Data!$AM$3)),DATE(2025,MATCH(UPPER($U$10), {"JAN","FEB","MAR","APR","MAY","JUN","JUL","AUG","SEP","OCT","NOV","DEC"}, 0),(DAY($D38))),INDIRECT(_xlfn.CONCAT("'Order Tracker'!S12:T",Data!$AM$3)))=0,"- -",SUMIF(INDIRECT(_xlfn.CONCAT("'Order Tracker'!E12:F",Data!$AM$3)),DATE(2025,MATCH(UPPER($U$10), {"JAN","FEB","MAR","APR","MAY","JUN","JUL","AUG","SEP","OCT","NOV","DEC"}, 0),(DAY($D38))),INDIRECT(_xlfn.CONCAT("'Order Tracker'!S12:T",Data!$AM$3))))</f>
        <v>- -</v>
      </c>
      <c r="W38" s="156">
        <f t="shared" ca="1" si="4"/>
        <v>0</v>
      </c>
      <c r="X38" s="10"/>
      <c r="Y38" s="160" t="str">
        <f ca="1">IF(SUMIF(INDIRECT(_xlfn.CONCAT("'Order Tracker'!E12:F",Data!$AM$3)),DATE(2025,MATCH(UPPER($Y$10), {"JAN","FEB","MAR","APR","MAY","JUN","JUL","AUG","SEP","OCT","NOV","DEC"}, 0),(DAY($D38))),INDIRECT(_xlfn.CONCAT("'Order Tracker'!Q12:R",Data!$AM$3)))=0,"- -",SUMIF(INDIRECT(_xlfn.CONCAT("'Order Tracker'!E12:F",Data!$AM$3)),DATE(2025,MATCH(UPPER($Y$10), {"JAN","FEB","MAR","APR","MAY","JUN","JUL","AUG","SEP","OCT","NOV","DEC"}, 0),(DAY($D38))),INDIRECT(_xlfn.CONCAT("'Order Tracker'!Q12:R",Data!$AM$3))))</f>
        <v>- -</v>
      </c>
      <c r="Z38" s="160" t="str">
        <f ca="1">IF(SUMIF(INDIRECT(_xlfn.CONCAT("'Order Tracker'!E12:F",Data!$AM$3)),DATE(2025,MATCH(UPPER($Y$10), {"JAN","FEB","MAR","APR","MAY","JUN","JUL","AUG","SEP","OCT","NOV","DEC"}, 0),(DAY($D38))),INDIRECT(_xlfn.CONCAT("'Order Tracker'!S12:T",Data!$AM$3)))=0,"- -",SUMIF(INDIRECT(_xlfn.CONCAT("'Order Tracker'!E12:F",Data!$AM$3)),DATE(2025,MATCH(UPPER($Y$10), {"JAN","FEB","MAR","APR","MAY","JUN","JUL","AUG","SEP","OCT","NOV","DEC"}, 0),(DAY($D38))),INDIRECT(_xlfn.CONCAT("'Order Tracker'!S12:T",Data!$AM$3))))</f>
        <v>- -</v>
      </c>
      <c r="AA38" s="156">
        <f t="shared" ca="1" si="5"/>
        <v>0</v>
      </c>
      <c r="AB38" s="10"/>
      <c r="AC38" s="160" t="str">
        <f ca="1">IF(SUMIF(INDIRECT(_xlfn.CONCAT("'Order Tracker'!E12:F",Data!$AM$3)),DATE(2025,MATCH(UPPER($AC$10), {"JAN","FEB","MAR","APR","MAY","JUN","JUL","AUG","SEP","OCT","NOV","DEC"}, 0),(DAY($D38))),INDIRECT(_xlfn.CONCAT("'Order Tracker'!Q12:R",Data!$AM$3)))=0,"- -",SUMIF(INDIRECT(_xlfn.CONCAT("'Order Tracker'!E12:F",Data!$AM$3)),DATE(2025,MATCH(UPPER($AC$10), {"JAN","FEB","MAR","APR","MAY","JUN","JUL","AUG","SEP","OCT","NOV","DEC"}, 0),(DAY($D38))),INDIRECT(_xlfn.CONCAT("'Order Tracker'!Q12:R",Data!$AM$3))))</f>
        <v>- -</v>
      </c>
      <c r="AD38" s="160" t="str">
        <f ca="1">IF(SUMIF(INDIRECT(_xlfn.CONCAT("'Order Tracker'!E12:F",Data!$AM$3)),DATE(2025,MATCH(UPPER($AC$10), {"JAN","FEB","MAR","APR","MAY","JUN","JUL","AUG","SEP","OCT","NOV","DEC"}, 0),(DAY($D38))),INDIRECT(_xlfn.CONCAT("'Order Tracker'!S12:T",Data!$AM$3)))=0,"- -",SUMIF(INDIRECT(_xlfn.CONCAT("'Order Tracker'!E12:F",Data!$AM$3)),DATE(2025,MATCH(UPPER($AC$10), {"JAN","FEB","MAR","APR","MAY","JUN","JUL","AUG","SEP","OCT","NOV","DEC"}, 0),(DAY($D38))),INDIRECT(_xlfn.CONCAT("'Order Tracker'!S12:T",Data!$AM$3))))</f>
        <v>- -</v>
      </c>
      <c r="AE38" s="156">
        <f t="shared" ca="1" si="6"/>
        <v>0</v>
      </c>
      <c r="AF38" s="10"/>
      <c r="AG38" s="160">
        <f ca="1">IF(SUMIF(INDIRECT(_xlfn.CONCAT("'Order Tracker'!E12:F",Data!$AM$3)),DATE(2025,MATCH(UPPER($AG$10), {"JAN","FEB","MAR","APR","MAY","JUN","JUL","AUG","SEP","OCT","NOV","DEC"}, 0),(DAY($D38))),INDIRECT(_xlfn.CONCAT("'Order Tracker'!Q12:R",Data!$AM$3)))=0,"- -",SUMIF(INDIRECT(_xlfn.CONCAT("'Order Tracker'!E12:F",Data!$AM$3)),DATE(2025,MATCH(UPPER($AG$10), {"JAN","FEB","MAR","APR","MAY","JUN","JUL","AUG","SEP","OCT","NOV","DEC"}, 0),(DAY($D38))),INDIRECT(_xlfn.CONCAT("'Order Tracker'!Q12:R",Data!$AM$3))))</f>
        <v>160</v>
      </c>
      <c r="AH38" s="160">
        <f ca="1">IF(SUMIF(INDIRECT(_xlfn.CONCAT("'Order Tracker'!E12:F",Data!$AM$3)),DATE(2025,MATCH(UPPER($AG$10), {"JAN","FEB","MAR","APR","MAY","JUN","JUL","AUG","SEP","OCT","NOV","DEC"}, 0),(DAY($D38))),INDIRECT(_xlfn.CONCAT("'Order Tracker'!S12:T",Data!$AM$3)))=0,"- -",SUMIF(INDIRECT(_xlfn.CONCAT("'Order Tracker'!E12:F",Data!$AM$3)),DATE(2025,MATCH(UPPER($AG$10), {"JAN","FEB","MAR","APR","MAY","JUN","JUL","AUG","SEP","OCT","NOV","DEC"}, 0),(DAY($D38))),INDIRECT(_xlfn.CONCAT("'Order Tracker'!S12:T",Data!$AM$3))))</f>
        <v>80</v>
      </c>
      <c r="AI38" s="156">
        <f t="shared" ca="1" si="7"/>
        <v>80</v>
      </c>
      <c r="AJ38" s="10"/>
      <c r="AK38" s="160" t="str">
        <f ca="1">IF(SUMIF(INDIRECT(_xlfn.CONCAT("'Order Tracker'!E12:F",Data!$AM$3)),DATE(2025,MATCH(UPPER($AK$10), {"JAN","FEB","MAR","APR","MAY","JUN","JUL","AUG","SEP","OCT","NOV","DEC"}, 0),(DAY($D38))),INDIRECT(_xlfn.CONCAT("'Order Tracker'!Q12:R",Data!$AM$3)))=0,"- -",SUMIF(INDIRECT(_xlfn.CONCAT("'Order Tracker'!E12:F",Data!$AM$3)),DATE(2025,MATCH(UPPER($AK$10), {"JAN","FEB","MAR","APR","MAY","JUN","JUL","AUG","SEP","OCT","NOV","DEC"}, 0),(DAY($D38))),INDIRECT(_xlfn.CONCAT("'Order Tracker'!Q12:R",Data!$AM$3))))</f>
        <v>- -</v>
      </c>
      <c r="AL38" s="160" t="str">
        <f ca="1">IF(SUMIF(INDIRECT(_xlfn.CONCAT("'Order Tracker'!E12:F",Data!$AM$3)),DATE(2025,MATCH(UPPER($AK$10), {"JAN","FEB","MAR","APR","MAY","JUN","JUL","AUG","SEP","OCT","NOV","DEC"}, 0),(DAY($D38))),INDIRECT(_xlfn.CONCAT("'Order Tracker'!S12:T",Data!$AM$3)))=0,"- -",SUMIF(INDIRECT(_xlfn.CONCAT("'Order Tracker'!E12:F",Data!$AM$3)),DATE(2025,MATCH(UPPER($AK$10), {"JAN","FEB","MAR","APR","MAY","JUN","JUL","AUG","SEP","OCT","NOV","DEC"}, 0),(DAY($D38))),INDIRECT(_xlfn.CONCAT("'Order Tracker'!S12:T",Data!$AM$3))))</f>
        <v>- -</v>
      </c>
      <c r="AM38" s="156">
        <f t="shared" ca="1" si="8"/>
        <v>0</v>
      </c>
      <c r="AN38" s="10"/>
      <c r="AO38" s="160" t="str">
        <f ca="1">IF(SUMIF(INDIRECT(_xlfn.CONCAT("'Order Tracker'!E12:F",Data!$AM$3)),DATE(2025,MATCH(UPPER($AO$10), {"JAN","FEB","MAR","APR","MAY","JUN","JUL","AUG","SEP","OCT","NOV","DEC"}, 0),(DAY($D38))),INDIRECT(_xlfn.CONCAT("'Order Tracker'!Q12:R",Data!$AM$3)))=0,"- -",SUMIF(INDIRECT(_xlfn.CONCAT("'Order Tracker'!E12:F",Data!$AM$3)),DATE(2025,MATCH(UPPER($AO$10), {"JAN","FEB","MAR","APR","MAY","JUN","JUL","AUG","SEP","OCT","NOV","DEC"}, 0),(DAY($D38))),INDIRECT(_xlfn.CONCAT("'Order Tracker'!Q12:R",Data!$AM$3))))</f>
        <v>- -</v>
      </c>
      <c r="AP38" s="160" t="str">
        <f ca="1">IF(SUMIF(INDIRECT(_xlfn.CONCAT("'Order Tracker'!E12:F",Data!$AM$3)),DATE(2025,MATCH(UPPER($AO$10), {"JAN","FEB","MAR","APR","MAY","JUN","JUL","AUG","SEP","OCT","NOV","DEC"}, 0),(DAY($D38))),INDIRECT(_xlfn.CONCAT("'Order Tracker'!S12:T",Data!$AM$3)))=0,"- -",SUMIF(INDIRECT(_xlfn.CONCAT("'Order Tracker'!E12:F",Data!$AM$3)),DATE(2025,MATCH(UPPER($AO$10), {"JAN","FEB","MAR","APR","MAY","JUN","JUL","AUG","SEP","OCT","NOV","DEC"}, 0),(DAY($D38))),INDIRECT(_xlfn.CONCAT("'Order Tracker'!S12:T",Data!$AM$3))))</f>
        <v>- -</v>
      </c>
      <c r="AQ38" s="156">
        <f t="shared" ca="1" si="9"/>
        <v>0</v>
      </c>
      <c r="AR38" s="10"/>
      <c r="AS38" s="160" t="str">
        <f ca="1">IF(SUMIF(INDIRECT(_xlfn.CONCAT("'Order Tracker'!E12:F",Data!$AM$3)),DATE(2025,MATCH(UPPER($AS$10), {"JAN","FEB","MAR","APR","MAY","JUN","JUL","AUG","SEP","OCT","NOV","DEC"}, 0),(DAY($D38))),INDIRECT(_xlfn.CONCAT("'Order Tracker'!Q12:R",Data!$AM$3)))=0,"- -",SUMIF(INDIRECT(_xlfn.CONCAT("'Order Tracker'!E12:F",Data!$AM$3)),DATE(2025,MATCH(UPPER($AS$10), {"JAN","FEB","MAR","APR","MAY","JUN","JUL","AUG","SEP","OCT","NOV","DEC"}, 0),(DAY($D38))),INDIRECT(_xlfn.CONCAT("'Order Tracker'!Q12:R",Data!$AM$3))))</f>
        <v>- -</v>
      </c>
      <c r="AT38" s="160" t="str">
        <f ca="1">IF(SUMIF(INDIRECT(_xlfn.CONCAT("'Order Tracker'!E12:F",Data!$AM$3)),DATE(2025,MATCH(UPPER($AS$10), {"JAN","FEB","MAR","APR","MAY","JUN","JUL","AUG","SEP","OCT","NOV","DEC"}, 0),(DAY($D38))),INDIRECT(_xlfn.CONCAT("'Order Tracker'!S12:T",Data!$AM$3)))=0,"- -",SUMIF(INDIRECT(_xlfn.CONCAT("'Order Tracker'!E12:F",Data!$AM$3)),DATE(2025,MATCH(UPPER($AS$10), {"JAN","FEB","MAR","APR","MAY","JUN","JUL","AUG","SEP","OCT","NOV","DEC"}, 0),(DAY($D38))),INDIRECT(_xlfn.CONCAT("'Order Tracker'!S12:T",Data!$AM$3))))</f>
        <v>- -</v>
      </c>
      <c r="AU38" s="156">
        <f t="shared" ca="1" si="10"/>
        <v>0</v>
      </c>
      <c r="AV38" s="7"/>
      <c r="AW38" s="160" t="str">
        <f ca="1">IF(SUMIF(INDIRECT(_xlfn.CONCAT("'Order Tracker'!E12:F",Data!$AM$3)),DATE(2025,MATCH(UPPER($AW$10), {"JAN","FEB","MAR","APR","MAY","JUN","JUL","AUG","SEP","OCT","NOV","DEC"}, 0),(DAY($D38))),INDIRECT(_xlfn.CONCAT("'Order Tracker'!Q12:R",Data!$AM$3)))=0,"- -",SUMIF(INDIRECT(_xlfn.CONCAT("'Order Tracker'!E12:F",Data!$AM$3)),DATE(2025,MATCH(UPPER($AW$10), {"JAN","FEB","MAR","APR","MAY","JUN","JUL","AUG","SEP","OCT","NOV","DEC"}, 0),(DAY($D38))),INDIRECT(_xlfn.CONCAT("'Order Tracker'!Q12:R",Data!$AM$3))))</f>
        <v>- -</v>
      </c>
      <c r="AX38" s="160" t="str">
        <f ca="1">IF(SUMIF(INDIRECT(_xlfn.CONCAT("'Order Tracker'!E12:F",Data!$AM$3)),DATE(2025,MATCH(UPPER($AW$10), {"JAN","FEB","MAR","APR","MAY","JUN","JUL","AUG","SEP","OCT","NOV","DEC"}, 0),(DAY($D38))),INDIRECT(_xlfn.CONCAT("'Order Tracker'!S12:T",Data!$AM$3)))=0,"- -",SUMIF(INDIRECT(_xlfn.CONCAT("'Order Tracker'!E12:F",Data!$AM$3)),DATE(2025,MATCH(UPPER($AW$10), {"JAN","FEB","MAR","APR","MAY","JUN","JUL","AUG","SEP","OCT","NOV","DEC"}, 0),(DAY($D38))),INDIRECT(_xlfn.CONCAT("'Order Tracker'!S12:T",Data!$AM$3))))</f>
        <v>- -</v>
      </c>
      <c r="AY38" s="156">
        <f t="shared" ca="1" si="11"/>
        <v>0</v>
      </c>
      <c r="AZ38" s="109"/>
    </row>
    <row r="39" spans="4:52" ht="18" hidden="1" x14ac:dyDescent="0.2">
      <c r="D39" s="151">
        <v>26</v>
      </c>
      <c r="E39" s="160" t="str">
        <f ca="1">IF(SUMIF(INDIRECT(_xlfn.CONCAT("'Order Tracker'!E12:F",Data!$AM$3)),DATE(2025,MATCH(UPPER($E$10), {"JAN","FEB","MAR","APR","MAY","JUN","JUL","AUG","SEP","OCT","NOV","DEC"}, 0),(DAY($D39))),INDIRECT(_xlfn.CONCAT("'Order Tracker'!Q12:R",Data!$AM$3)))=0,"- -",SUMIF(INDIRECT(_xlfn.CONCAT("'Order Tracker'!E12:F",Data!$AM$3)),DATE(2025,MATCH(UPPER($E$10), {"JAN","FEB","MAR","APR","MAY","JUN","JUL","AUG","SEP","OCT","NOV","DEC"}, 0),(DAY($D39))),INDIRECT(_xlfn.CONCAT("'Order Tracker'!Q12:R",Data!$AM$3))))</f>
        <v>- -</v>
      </c>
      <c r="F39" s="160" t="str">
        <f ca="1">IF(SUMIF(INDIRECT(_xlfn.CONCAT("'Order Tracker'!E12:F",Data!$AM$3)),DATE(2025,MATCH(UPPER($E$10), {"JAN","FEB","MAR","APR","MAY","JUN","JUL","AUG","SEP","OCT","NOV","DEC"}, 0),(DAY($D39))),INDIRECT(_xlfn.CONCAT("'Order Tracker'!S12:T",Data!$AM$3)))=0,"- -",SUMIF(INDIRECT(_xlfn.CONCAT("'Order Tracker'!E12:F",Data!$AM$3)),DATE(2025,MATCH(UPPER($E$10), {"JAN","FEB","MAR","APR","MAY","JUN","JUL","AUG","SEP","OCT","NOV","DEC"}, 0),(DAY($D39))),INDIRECT(_xlfn.CONCAT("'Order Tracker'!S12:T",Data!$AM$3))))</f>
        <v>- -</v>
      </c>
      <c r="G39" s="156">
        <f t="shared" ca="1" si="0"/>
        <v>0</v>
      </c>
      <c r="H39" s="10"/>
      <c r="I39" s="160" t="str">
        <f ca="1">IF(SUMIF(INDIRECT(_xlfn.CONCAT("'Order Tracker'!E12:F",Data!$AM$3)),DATE(2025,MATCH(UPPER($I$10), {"JAN","FEB","MAR","APR","MAY","JUN","JUL","AUG","SEP","OCT","NOV","DEC"}, 0),(DAY($D39))),INDIRECT(_xlfn.CONCAT("'Order Tracker'!Q12:R",Data!$AM$3)))=0,"- -",SUMIF(INDIRECT(_xlfn.CONCAT("'Order Tracker'!E12:F",Data!$AM$3)),DATE(2025,MATCH(UPPER($I$10), {"JAN","FEB","MAR","APR","MAY","JUN","JUL","AUG","SEP","OCT","NOV","DEC"}, 0),(DAY($D39))),INDIRECT(_xlfn.CONCAT("'Order Tracker'!Q12:R",Data!$AM$3))))</f>
        <v>- -</v>
      </c>
      <c r="J39" s="160" t="str">
        <f ca="1">IF(SUMIF(INDIRECT(_xlfn.CONCAT("'Order Tracker'!E12:F",Data!$AM$3)),DATE(2025,MATCH(UPPER($I$10), {"JAN","FEB","MAR","APR","MAY","JUN","JUL","AUG","SEP","OCT","NOV","DEC"}, 0),(DAY($D39))),INDIRECT(_xlfn.CONCAT("'Order Tracker'!S12:T",Data!$AM$3)))=0,"- -",SUMIF(INDIRECT(_xlfn.CONCAT("'Order Tracker'!E12:F",Data!$AM$3)),DATE(2025,MATCH(UPPER($I$10), {"JAN","FEB","MAR","APR","MAY","JUN","JUL","AUG","SEP","OCT","NOV","DEC"}, 0),(DAY($D39))),INDIRECT(_xlfn.CONCAT("'Order Tracker'!S12:T",Data!$AM$3))))</f>
        <v>- -</v>
      </c>
      <c r="K39" s="156">
        <f t="shared" ca="1" si="1"/>
        <v>0</v>
      </c>
      <c r="L39" s="10"/>
      <c r="M39" s="160" t="str">
        <f ca="1">IF(SUMIF(INDIRECT(_xlfn.CONCAT("'Order Tracker'!E12:F",Data!$AM$3)),DATE(2025,MATCH(UPPER($M$10), {"JAN","FEB","MAR","APR","MAY","JUN","JUL","AUG","SEP","OCT","NOV","DEC"}, 0),(DAY($D39))),INDIRECT(_xlfn.CONCAT("'Order Tracker'!Q12:R",Data!$AM$3)))=0,"- -",SUMIF(INDIRECT(_xlfn.CONCAT("'Order Tracker'!E12:F",Data!$AM$3)),DATE(2025,MATCH(UPPER($M$10), {"JAN","FEB","MAR","APR","MAY","JUN","JUL","AUG","SEP","OCT","NOV","DEC"}, 0),(DAY($D39))),INDIRECT(_xlfn.CONCAT("'Order Tracker'!Q12:R",Data!$AM$3))))</f>
        <v>- -</v>
      </c>
      <c r="N39" s="160" t="str">
        <f ca="1">IF(SUMIF(INDIRECT(_xlfn.CONCAT("'Order Tracker'!E12:F",Data!$AM$3)),DATE(2025,MATCH(UPPER($M$10), {"JAN","FEB","MAR","APR","MAY","JUN","JUL","AUG","SEP","OCT","NOV","DEC"}, 0),(DAY($D39))),INDIRECT(_xlfn.CONCAT("'Order Tracker'!S12:T",Data!$AM$3)))=0,"- -",SUMIF(INDIRECT(_xlfn.CONCAT("'Order Tracker'!E12:F",Data!$AM$3)),DATE(2025,MATCH(UPPER($M$10), {"JAN","FEB","MAR","APR","MAY","JUN","JUL","AUG","SEP","OCT","NOV","DEC"}, 0),(DAY($D39))),INDIRECT(_xlfn.CONCAT("'Order Tracker'!S12:T",Data!$AM$3))))</f>
        <v>- -</v>
      </c>
      <c r="O39" s="156">
        <f t="shared" ca="1" si="2"/>
        <v>0</v>
      </c>
      <c r="P39" s="10"/>
      <c r="Q39" s="160" t="str">
        <f ca="1">IF(SUMIF(INDIRECT(_xlfn.CONCAT("'Order Tracker'!E12:F",Data!$AM$3)),DATE(2025,MATCH(UPPER($Q$10), {"JAN","FEB","MAR","APR","MAY","JUN","JUL","AUG","SEP","OCT","NOV","DEC"}, 0),(DAY($D39))),INDIRECT(_xlfn.CONCAT("'Order Tracker'!Q12:R",Data!$AM$3)))=0,"- -",SUMIF(INDIRECT(_xlfn.CONCAT("'Order Tracker'!E12:F",Data!$AM$3)),DATE(2025,MATCH(UPPER($Q$10), {"JAN","FEB","MAR","APR","MAY","JUN","JUL","AUG","SEP","OCT","NOV","DEC"}, 0),(DAY($D39))),INDIRECT(_xlfn.CONCAT("'Order Tracker'!Q12:R",Data!$AM$3))))</f>
        <v>- -</v>
      </c>
      <c r="R39" s="160" t="str">
        <f ca="1">IF(SUMIF(INDIRECT(_xlfn.CONCAT("'Order Tracker'!E12:F",Data!$AM$3)),DATE(2025,MATCH(UPPER($Q$10), {"JAN","FEB","MAR","APR","MAY","JUN","JUL","AUG","SEP","OCT","NOV","DEC"}, 0),(DAY($D39))),INDIRECT(_xlfn.CONCAT("'Order Tracker'!S12:T",Data!$AM$3)))=0,"- -",SUMIF(INDIRECT(_xlfn.CONCAT("'Order Tracker'!E12:F",Data!$AM$3)),DATE(2025,MATCH(UPPER($Q$10), {"JAN","FEB","MAR","APR","MAY","JUN","JUL","AUG","SEP","OCT","NOV","DEC"}, 0),(DAY($D39))),INDIRECT(_xlfn.CONCAT("'Order Tracker'!S12:T",Data!$AM$3))))</f>
        <v>- -</v>
      </c>
      <c r="S39" s="156">
        <f t="shared" ca="1" si="3"/>
        <v>0</v>
      </c>
      <c r="T39" s="10"/>
      <c r="U39" s="160" t="str">
        <f ca="1">IF(SUMIF(INDIRECT(_xlfn.CONCAT("'Order Tracker'!E12:F",Data!$AM$3)),DATE(2025,MATCH(UPPER($U$10), {"JAN","FEB","MAR","APR","MAY","JUN","JUL","AUG","SEP","OCT","NOV","DEC"}, 0),(DAY($D39))),INDIRECT(_xlfn.CONCAT("'Order Tracker'!Q12:R",Data!$AM$3)))=0,"- -",SUMIF(INDIRECT(_xlfn.CONCAT("'Order Tracker'!E12:F",Data!$AM$3)),DATE(2025,MATCH(UPPER($U$10), {"JAN","FEB","MAR","APR","MAY","JUN","JUL","AUG","SEP","OCT","NOV","DEC"}, 0),(DAY($D39))),INDIRECT(_xlfn.CONCAT("'Order Tracker'!Q12:R",Data!$AM$3))))</f>
        <v>- -</v>
      </c>
      <c r="V39" s="160" t="str">
        <f ca="1">IF(SUMIF(INDIRECT(_xlfn.CONCAT("'Order Tracker'!E12:F",Data!$AM$3)),DATE(2025,MATCH(UPPER($U$10), {"JAN","FEB","MAR","APR","MAY","JUN","JUL","AUG","SEP","OCT","NOV","DEC"}, 0),(DAY($D39))),INDIRECT(_xlfn.CONCAT("'Order Tracker'!S12:T",Data!$AM$3)))=0,"- -",SUMIF(INDIRECT(_xlfn.CONCAT("'Order Tracker'!E12:F",Data!$AM$3)),DATE(2025,MATCH(UPPER($U$10), {"JAN","FEB","MAR","APR","MAY","JUN","JUL","AUG","SEP","OCT","NOV","DEC"}, 0),(DAY($D39))),INDIRECT(_xlfn.CONCAT("'Order Tracker'!S12:T",Data!$AM$3))))</f>
        <v>- -</v>
      </c>
      <c r="W39" s="156">
        <f t="shared" ca="1" si="4"/>
        <v>0</v>
      </c>
      <c r="X39" s="10"/>
      <c r="Y39" s="160" t="str">
        <f ca="1">IF(SUMIF(INDIRECT(_xlfn.CONCAT("'Order Tracker'!E12:F",Data!$AM$3)),DATE(2025,MATCH(UPPER($Y$10), {"JAN","FEB","MAR","APR","MAY","JUN","JUL","AUG","SEP","OCT","NOV","DEC"}, 0),(DAY($D39))),INDIRECT(_xlfn.CONCAT("'Order Tracker'!Q12:R",Data!$AM$3)))=0,"- -",SUMIF(INDIRECT(_xlfn.CONCAT("'Order Tracker'!E12:F",Data!$AM$3)),DATE(2025,MATCH(UPPER($Y$10), {"JAN","FEB","MAR","APR","MAY","JUN","JUL","AUG","SEP","OCT","NOV","DEC"}, 0),(DAY($D39))),INDIRECT(_xlfn.CONCAT("'Order Tracker'!Q12:R",Data!$AM$3))))</f>
        <v>- -</v>
      </c>
      <c r="Z39" s="160" t="str">
        <f ca="1">IF(SUMIF(INDIRECT(_xlfn.CONCAT("'Order Tracker'!E12:F",Data!$AM$3)),DATE(2025,MATCH(UPPER($Y$10), {"JAN","FEB","MAR","APR","MAY","JUN","JUL","AUG","SEP","OCT","NOV","DEC"}, 0),(DAY($D39))),INDIRECT(_xlfn.CONCAT("'Order Tracker'!S12:T",Data!$AM$3)))=0,"- -",SUMIF(INDIRECT(_xlfn.CONCAT("'Order Tracker'!E12:F",Data!$AM$3)),DATE(2025,MATCH(UPPER($Y$10), {"JAN","FEB","MAR","APR","MAY","JUN","JUL","AUG","SEP","OCT","NOV","DEC"}, 0),(DAY($D39))),INDIRECT(_xlfn.CONCAT("'Order Tracker'!S12:T",Data!$AM$3))))</f>
        <v>- -</v>
      </c>
      <c r="AA39" s="156">
        <f t="shared" ca="1" si="5"/>
        <v>0</v>
      </c>
      <c r="AB39" s="10"/>
      <c r="AC39" s="160" t="str">
        <f ca="1">IF(SUMIF(INDIRECT(_xlfn.CONCAT("'Order Tracker'!E12:F",Data!$AM$3)),DATE(2025,MATCH(UPPER($AC$10), {"JAN","FEB","MAR","APR","MAY","JUN","JUL","AUG","SEP","OCT","NOV","DEC"}, 0),(DAY($D39))),INDIRECT(_xlfn.CONCAT("'Order Tracker'!Q12:R",Data!$AM$3)))=0,"- -",SUMIF(INDIRECT(_xlfn.CONCAT("'Order Tracker'!E12:F",Data!$AM$3)),DATE(2025,MATCH(UPPER($AC$10), {"JAN","FEB","MAR","APR","MAY","JUN","JUL","AUG","SEP","OCT","NOV","DEC"}, 0),(DAY($D39))),INDIRECT(_xlfn.CONCAT("'Order Tracker'!Q12:R",Data!$AM$3))))</f>
        <v>- -</v>
      </c>
      <c r="AD39" s="160" t="str">
        <f ca="1">IF(SUMIF(INDIRECT(_xlfn.CONCAT("'Order Tracker'!E12:F",Data!$AM$3)),DATE(2025,MATCH(UPPER($AC$10), {"JAN","FEB","MAR","APR","MAY","JUN","JUL","AUG","SEP","OCT","NOV","DEC"}, 0),(DAY($D39))),INDIRECT(_xlfn.CONCAT("'Order Tracker'!S12:T",Data!$AM$3)))=0,"- -",SUMIF(INDIRECT(_xlfn.CONCAT("'Order Tracker'!E12:F",Data!$AM$3)),DATE(2025,MATCH(UPPER($AC$10), {"JAN","FEB","MAR","APR","MAY","JUN","JUL","AUG","SEP","OCT","NOV","DEC"}, 0),(DAY($D39))),INDIRECT(_xlfn.CONCAT("'Order Tracker'!S12:T",Data!$AM$3))))</f>
        <v>- -</v>
      </c>
      <c r="AE39" s="156">
        <f t="shared" ca="1" si="6"/>
        <v>0</v>
      </c>
      <c r="AF39" s="10"/>
      <c r="AG39" s="160">
        <f ca="1">IF(SUMIF(INDIRECT(_xlfn.CONCAT("'Order Tracker'!E12:F",Data!$AM$3)),DATE(2025,MATCH(UPPER($AG$10), {"JAN","FEB","MAR","APR","MAY","JUN","JUL","AUG","SEP","OCT","NOV","DEC"}, 0),(DAY($D39))),INDIRECT(_xlfn.CONCAT("'Order Tracker'!Q12:R",Data!$AM$3)))=0,"- -",SUMIF(INDIRECT(_xlfn.CONCAT("'Order Tracker'!E12:F",Data!$AM$3)),DATE(2025,MATCH(UPPER($AG$10), {"JAN","FEB","MAR","APR","MAY","JUN","JUL","AUG","SEP","OCT","NOV","DEC"}, 0),(DAY($D39))),INDIRECT(_xlfn.CONCAT("'Order Tracker'!Q12:R",Data!$AM$3))))</f>
        <v>80</v>
      </c>
      <c r="AH39" s="160">
        <f ca="1">IF(SUMIF(INDIRECT(_xlfn.CONCAT("'Order Tracker'!E12:F",Data!$AM$3)),DATE(2025,MATCH(UPPER($AG$10), {"JAN","FEB","MAR","APR","MAY","JUN","JUL","AUG","SEP","OCT","NOV","DEC"}, 0),(DAY($D39))),INDIRECT(_xlfn.CONCAT("'Order Tracker'!S12:T",Data!$AM$3)))=0,"- -",SUMIF(INDIRECT(_xlfn.CONCAT("'Order Tracker'!E12:F",Data!$AM$3)),DATE(2025,MATCH(UPPER($AG$10), {"JAN","FEB","MAR","APR","MAY","JUN","JUL","AUG","SEP","OCT","NOV","DEC"}, 0),(DAY($D39))),INDIRECT(_xlfn.CONCAT("'Order Tracker'!S12:T",Data!$AM$3))))</f>
        <v>40</v>
      </c>
      <c r="AI39" s="156">
        <f t="shared" ca="1" si="7"/>
        <v>40</v>
      </c>
      <c r="AJ39" s="10"/>
      <c r="AK39" s="160" t="str">
        <f ca="1">IF(SUMIF(INDIRECT(_xlfn.CONCAT("'Order Tracker'!E12:F",Data!$AM$3)),DATE(2025,MATCH(UPPER($AK$10), {"JAN","FEB","MAR","APR","MAY","JUN","JUL","AUG","SEP","OCT","NOV","DEC"}, 0),(DAY($D39))),INDIRECT(_xlfn.CONCAT("'Order Tracker'!Q12:R",Data!$AM$3)))=0,"- -",SUMIF(INDIRECT(_xlfn.CONCAT("'Order Tracker'!E12:F",Data!$AM$3)),DATE(2025,MATCH(UPPER($AK$10), {"JAN","FEB","MAR","APR","MAY","JUN","JUL","AUG","SEP","OCT","NOV","DEC"}, 0),(DAY($D39))),INDIRECT(_xlfn.CONCAT("'Order Tracker'!Q12:R",Data!$AM$3))))</f>
        <v>- -</v>
      </c>
      <c r="AL39" s="160" t="str">
        <f ca="1">IF(SUMIF(INDIRECT(_xlfn.CONCAT("'Order Tracker'!E12:F",Data!$AM$3)),DATE(2025,MATCH(UPPER($AK$10), {"JAN","FEB","MAR","APR","MAY","JUN","JUL","AUG","SEP","OCT","NOV","DEC"}, 0),(DAY($D39))),INDIRECT(_xlfn.CONCAT("'Order Tracker'!S12:T",Data!$AM$3)))=0,"- -",SUMIF(INDIRECT(_xlfn.CONCAT("'Order Tracker'!E12:F",Data!$AM$3)),DATE(2025,MATCH(UPPER($AK$10), {"JAN","FEB","MAR","APR","MAY","JUN","JUL","AUG","SEP","OCT","NOV","DEC"}, 0),(DAY($D39))),INDIRECT(_xlfn.CONCAT("'Order Tracker'!S12:T",Data!$AM$3))))</f>
        <v>- -</v>
      </c>
      <c r="AM39" s="156">
        <f t="shared" ca="1" si="8"/>
        <v>0</v>
      </c>
      <c r="AN39" s="10"/>
      <c r="AO39" s="160" t="str">
        <f ca="1">IF(SUMIF(INDIRECT(_xlfn.CONCAT("'Order Tracker'!E12:F",Data!$AM$3)),DATE(2025,MATCH(UPPER($AO$10), {"JAN","FEB","MAR","APR","MAY","JUN","JUL","AUG","SEP","OCT","NOV","DEC"}, 0),(DAY($D39))),INDIRECT(_xlfn.CONCAT("'Order Tracker'!Q12:R",Data!$AM$3)))=0,"- -",SUMIF(INDIRECT(_xlfn.CONCAT("'Order Tracker'!E12:F",Data!$AM$3)),DATE(2025,MATCH(UPPER($AO$10), {"JAN","FEB","MAR","APR","MAY","JUN","JUL","AUG","SEP","OCT","NOV","DEC"}, 0),(DAY($D39))),INDIRECT(_xlfn.CONCAT("'Order Tracker'!Q12:R",Data!$AM$3))))</f>
        <v>- -</v>
      </c>
      <c r="AP39" s="160" t="str">
        <f ca="1">IF(SUMIF(INDIRECT(_xlfn.CONCAT("'Order Tracker'!E12:F",Data!$AM$3)),DATE(2025,MATCH(UPPER($AO$10), {"JAN","FEB","MAR","APR","MAY","JUN","JUL","AUG","SEP","OCT","NOV","DEC"}, 0),(DAY($D39))),INDIRECT(_xlfn.CONCAT("'Order Tracker'!S12:T",Data!$AM$3)))=0,"- -",SUMIF(INDIRECT(_xlfn.CONCAT("'Order Tracker'!E12:F",Data!$AM$3)),DATE(2025,MATCH(UPPER($AO$10), {"JAN","FEB","MAR","APR","MAY","JUN","JUL","AUG","SEP","OCT","NOV","DEC"}, 0),(DAY($D39))),INDIRECT(_xlfn.CONCAT("'Order Tracker'!S12:T",Data!$AM$3))))</f>
        <v>- -</v>
      </c>
      <c r="AQ39" s="156">
        <f t="shared" ca="1" si="9"/>
        <v>0</v>
      </c>
      <c r="AR39" s="10"/>
      <c r="AS39" s="160" t="str">
        <f ca="1">IF(SUMIF(INDIRECT(_xlfn.CONCAT("'Order Tracker'!E12:F",Data!$AM$3)),DATE(2025,MATCH(UPPER($AS$10), {"JAN","FEB","MAR","APR","MAY","JUN","JUL","AUG","SEP","OCT","NOV","DEC"}, 0),(DAY($D39))),INDIRECT(_xlfn.CONCAT("'Order Tracker'!Q12:R",Data!$AM$3)))=0,"- -",SUMIF(INDIRECT(_xlfn.CONCAT("'Order Tracker'!E12:F",Data!$AM$3)),DATE(2025,MATCH(UPPER($AS$10), {"JAN","FEB","MAR","APR","MAY","JUN","JUL","AUG","SEP","OCT","NOV","DEC"}, 0),(DAY($D39))),INDIRECT(_xlfn.CONCAT("'Order Tracker'!Q12:R",Data!$AM$3))))</f>
        <v>- -</v>
      </c>
      <c r="AT39" s="160" t="str">
        <f ca="1">IF(SUMIF(INDIRECT(_xlfn.CONCAT("'Order Tracker'!E12:F",Data!$AM$3)),DATE(2025,MATCH(UPPER($AS$10), {"JAN","FEB","MAR","APR","MAY","JUN","JUL","AUG","SEP","OCT","NOV","DEC"}, 0),(DAY($D39))),INDIRECT(_xlfn.CONCAT("'Order Tracker'!S12:T",Data!$AM$3)))=0,"- -",SUMIF(INDIRECT(_xlfn.CONCAT("'Order Tracker'!E12:F",Data!$AM$3)),DATE(2025,MATCH(UPPER($AS$10), {"JAN","FEB","MAR","APR","MAY","JUN","JUL","AUG","SEP","OCT","NOV","DEC"}, 0),(DAY($D39))),INDIRECT(_xlfn.CONCAT("'Order Tracker'!S12:T",Data!$AM$3))))</f>
        <v>- -</v>
      </c>
      <c r="AU39" s="156">
        <f t="shared" ca="1" si="10"/>
        <v>0</v>
      </c>
      <c r="AV39" s="7"/>
      <c r="AW39" s="160" t="str">
        <f ca="1">IF(SUMIF(INDIRECT(_xlfn.CONCAT("'Order Tracker'!E12:F",Data!$AM$3)),DATE(2025,MATCH(UPPER($AW$10), {"JAN","FEB","MAR","APR","MAY","JUN","JUL","AUG","SEP","OCT","NOV","DEC"}, 0),(DAY($D39))),INDIRECT(_xlfn.CONCAT("'Order Tracker'!Q12:R",Data!$AM$3)))=0,"- -",SUMIF(INDIRECT(_xlfn.CONCAT("'Order Tracker'!E12:F",Data!$AM$3)),DATE(2025,MATCH(UPPER($AW$10), {"JAN","FEB","MAR","APR","MAY","JUN","JUL","AUG","SEP","OCT","NOV","DEC"}, 0),(DAY($D39))),INDIRECT(_xlfn.CONCAT("'Order Tracker'!Q12:R",Data!$AM$3))))</f>
        <v>- -</v>
      </c>
      <c r="AX39" s="160" t="str">
        <f ca="1">IF(SUMIF(INDIRECT(_xlfn.CONCAT("'Order Tracker'!E12:F",Data!$AM$3)),DATE(2025,MATCH(UPPER($AW$10), {"JAN","FEB","MAR","APR","MAY","JUN","JUL","AUG","SEP","OCT","NOV","DEC"}, 0),(DAY($D39))),INDIRECT(_xlfn.CONCAT("'Order Tracker'!S12:T",Data!$AM$3)))=0,"- -",SUMIF(INDIRECT(_xlfn.CONCAT("'Order Tracker'!E12:F",Data!$AM$3)),DATE(2025,MATCH(UPPER($AW$10), {"JAN","FEB","MAR","APR","MAY","JUN","JUL","AUG","SEP","OCT","NOV","DEC"}, 0),(DAY($D39))),INDIRECT(_xlfn.CONCAT("'Order Tracker'!S12:T",Data!$AM$3))))</f>
        <v>- -</v>
      </c>
      <c r="AY39" s="156">
        <f t="shared" ca="1" si="11"/>
        <v>0</v>
      </c>
      <c r="AZ39" s="109"/>
    </row>
    <row r="40" spans="4:52" ht="18" hidden="1" x14ac:dyDescent="0.2">
      <c r="D40" s="151">
        <v>27</v>
      </c>
      <c r="E40" s="160" t="str">
        <f ca="1">IF(SUMIF(INDIRECT(_xlfn.CONCAT("'Order Tracker'!E12:F",Data!$AM$3)),DATE(2025,MATCH(UPPER($E$10), {"JAN","FEB","MAR","APR","MAY","JUN","JUL","AUG","SEP","OCT","NOV","DEC"}, 0),(DAY($D40))),INDIRECT(_xlfn.CONCAT("'Order Tracker'!Q12:R",Data!$AM$3)))=0,"- -",SUMIF(INDIRECT(_xlfn.CONCAT("'Order Tracker'!E12:F",Data!$AM$3)),DATE(2025,MATCH(UPPER($E$10), {"JAN","FEB","MAR","APR","MAY","JUN","JUL","AUG","SEP","OCT","NOV","DEC"}, 0),(DAY($D40))),INDIRECT(_xlfn.CONCAT("'Order Tracker'!Q12:R",Data!$AM$3))))</f>
        <v>- -</v>
      </c>
      <c r="F40" s="160" t="str">
        <f ca="1">IF(SUMIF(INDIRECT(_xlfn.CONCAT("'Order Tracker'!E12:F",Data!$AM$3)),DATE(2025,MATCH(UPPER($E$10), {"JAN","FEB","MAR","APR","MAY","JUN","JUL","AUG","SEP","OCT","NOV","DEC"}, 0),(DAY($D40))),INDIRECT(_xlfn.CONCAT("'Order Tracker'!S12:T",Data!$AM$3)))=0,"- -",SUMIF(INDIRECT(_xlfn.CONCAT("'Order Tracker'!E12:F",Data!$AM$3)),DATE(2025,MATCH(UPPER($E$10), {"JAN","FEB","MAR","APR","MAY","JUN","JUL","AUG","SEP","OCT","NOV","DEC"}, 0),(DAY($D40))),INDIRECT(_xlfn.CONCAT("'Order Tracker'!S12:T",Data!$AM$3))))</f>
        <v>- -</v>
      </c>
      <c r="G40" s="156">
        <f t="shared" ca="1" si="0"/>
        <v>0</v>
      </c>
      <c r="H40" s="10"/>
      <c r="I40" s="160" t="str">
        <f ca="1">IF(SUMIF(INDIRECT(_xlfn.CONCAT("'Order Tracker'!E12:F",Data!$AM$3)),DATE(2025,MATCH(UPPER($I$10), {"JAN","FEB","MAR","APR","MAY","JUN","JUL","AUG","SEP","OCT","NOV","DEC"}, 0),(DAY($D40))),INDIRECT(_xlfn.CONCAT("'Order Tracker'!Q12:R",Data!$AM$3)))=0,"- -",SUMIF(INDIRECT(_xlfn.CONCAT("'Order Tracker'!E12:F",Data!$AM$3)),DATE(2025,MATCH(UPPER($I$10), {"JAN","FEB","MAR","APR","MAY","JUN","JUL","AUG","SEP","OCT","NOV","DEC"}, 0),(DAY($D40))),INDIRECT(_xlfn.CONCAT("'Order Tracker'!Q12:R",Data!$AM$3))))</f>
        <v>- -</v>
      </c>
      <c r="J40" s="160" t="str">
        <f ca="1">IF(SUMIF(INDIRECT(_xlfn.CONCAT("'Order Tracker'!E12:F",Data!$AM$3)),DATE(2025,MATCH(UPPER($I$10), {"JAN","FEB","MAR","APR","MAY","JUN","JUL","AUG","SEP","OCT","NOV","DEC"}, 0),(DAY($D40))),INDIRECT(_xlfn.CONCAT("'Order Tracker'!S12:T",Data!$AM$3)))=0,"- -",SUMIF(INDIRECT(_xlfn.CONCAT("'Order Tracker'!E12:F",Data!$AM$3)),DATE(2025,MATCH(UPPER($I$10), {"JAN","FEB","MAR","APR","MAY","JUN","JUL","AUG","SEP","OCT","NOV","DEC"}, 0),(DAY($D40))),INDIRECT(_xlfn.CONCAT("'Order Tracker'!S12:T",Data!$AM$3))))</f>
        <v>- -</v>
      </c>
      <c r="K40" s="156">
        <f t="shared" ca="1" si="1"/>
        <v>0</v>
      </c>
      <c r="L40" s="10"/>
      <c r="M40" s="160" t="str">
        <f ca="1">IF(SUMIF(INDIRECT(_xlfn.CONCAT("'Order Tracker'!E12:F",Data!$AM$3)),DATE(2025,MATCH(UPPER($M$10), {"JAN","FEB","MAR","APR","MAY","JUN","JUL","AUG","SEP","OCT","NOV","DEC"}, 0),(DAY($D40))),INDIRECT(_xlfn.CONCAT("'Order Tracker'!Q12:R",Data!$AM$3)))=0,"- -",SUMIF(INDIRECT(_xlfn.CONCAT("'Order Tracker'!E12:F",Data!$AM$3)),DATE(2025,MATCH(UPPER($M$10), {"JAN","FEB","MAR","APR","MAY","JUN","JUL","AUG","SEP","OCT","NOV","DEC"}, 0),(DAY($D40))),INDIRECT(_xlfn.CONCAT("'Order Tracker'!Q12:R",Data!$AM$3))))</f>
        <v>- -</v>
      </c>
      <c r="N40" s="160" t="str">
        <f ca="1">IF(SUMIF(INDIRECT(_xlfn.CONCAT("'Order Tracker'!E12:F",Data!$AM$3)),DATE(2025,MATCH(UPPER($M$10), {"JAN","FEB","MAR","APR","MAY","JUN","JUL","AUG","SEP","OCT","NOV","DEC"}, 0),(DAY($D40))),INDIRECT(_xlfn.CONCAT("'Order Tracker'!S12:T",Data!$AM$3)))=0,"- -",SUMIF(INDIRECT(_xlfn.CONCAT("'Order Tracker'!E12:F",Data!$AM$3)),DATE(2025,MATCH(UPPER($M$10), {"JAN","FEB","MAR","APR","MAY","JUN","JUL","AUG","SEP","OCT","NOV","DEC"}, 0),(DAY($D40))),INDIRECT(_xlfn.CONCAT("'Order Tracker'!S12:T",Data!$AM$3))))</f>
        <v>- -</v>
      </c>
      <c r="O40" s="156">
        <f t="shared" ca="1" si="2"/>
        <v>0</v>
      </c>
      <c r="P40" s="10"/>
      <c r="Q40" s="160" t="str">
        <f ca="1">IF(SUMIF(INDIRECT(_xlfn.CONCAT("'Order Tracker'!E12:F",Data!$AM$3)),DATE(2025,MATCH(UPPER($Q$10), {"JAN","FEB","MAR","APR","MAY","JUN","JUL","AUG","SEP","OCT","NOV","DEC"}, 0),(DAY($D40))),INDIRECT(_xlfn.CONCAT("'Order Tracker'!Q12:R",Data!$AM$3)))=0,"- -",SUMIF(INDIRECT(_xlfn.CONCAT("'Order Tracker'!E12:F",Data!$AM$3)),DATE(2025,MATCH(UPPER($Q$10), {"JAN","FEB","MAR","APR","MAY","JUN","JUL","AUG","SEP","OCT","NOV","DEC"}, 0),(DAY($D40))),INDIRECT(_xlfn.CONCAT("'Order Tracker'!Q12:R",Data!$AM$3))))</f>
        <v>- -</v>
      </c>
      <c r="R40" s="160" t="str">
        <f ca="1">IF(SUMIF(INDIRECT(_xlfn.CONCAT("'Order Tracker'!E12:F",Data!$AM$3)),DATE(2025,MATCH(UPPER($Q$10), {"JAN","FEB","MAR","APR","MAY","JUN","JUL","AUG","SEP","OCT","NOV","DEC"}, 0),(DAY($D40))),INDIRECT(_xlfn.CONCAT("'Order Tracker'!S12:T",Data!$AM$3)))=0,"- -",SUMIF(INDIRECT(_xlfn.CONCAT("'Order Tracker'!E12:F",Data!$AM$3)),DATE(2025,MATCH(UPPER($Q$10), {"JAN","FEB","MAR","APR","MAY","JUN","JUL","AUG","SEP","OCT","NOV","DEC"}, 0),(DAY($D40))),INDIRECT(_xlfn.CONCAT("'Order Tracker'!S12:T",Data!$AM$3))))</f>
        <v>- -</v>
      </c>
      <c r="S40" s="156">
        <f t="shared" ca="1" si="3"/>
        <v>0</v>
      </c>
      <c r="T40" s="10"/>
      <c r="U40" s="160" t="str">
        <f ca="1">IF(SUMIF(INDIRECT(_xlfn.CONCAT("'Order Tracker'!E12:F",Data!$AM$3)),DATE(2025,MATCH(UPPER($U$10), {"JAN","FEB","MAR","APR","MAY","JUN","JUL","AUG","SEP","OCT","NOV","DEC"}, 0),(DAY($D40))),INDIRECT(_xlfn.CONCAT("'Order Tracker'!Q12:R",Data!$AM$3)))=0,"- -",SUMIF(INDIRECT(_xlfn.CONCAT("'Order Tracker'!E12:F",Data!$AM$3)),DATE(2025,MATCH(UPPER($U$10), {"JAN","FEB","MAR","APR","MAY","JUN","JUL","AUG","SEP","OCT","NOV","DEC"}, 0),(DAY($D40))),INDIRECT(_xlfn.CONCAT("'Order Tracker'!Q12:R",Data!$AM$3))))</f>
        <v>- -</v>
      </c>
      <c r="V40" s="160" t="str">
        <f ca="1">IF(SUMIF(INDIRECT(_xlfn.CONCAT("'Order Tracker'!E12:F",Data!$AM$3)),DATE(2025,MATCH(UPPER($U$10), {"JAN","FEB","MAR","APR","MAY","JUN","JUL","AUG","SEP","OCT","NOV","DEC"}, 0),(DAY($D40))),INDIRECT(_xlfn.CONCAT("'Order Tracker'!S12:T",Data!$AM$3)))=0,"- -",SUMIF(INDIRECT(_xlfn.CONCAT("'Order Tracker'!E12:F",Data!$AM$3)),DATE(2025,MATCH(UPPER($U$10), {"JAN","FEB","MAR","APR","MAY","JUN","JUL","AUG","SEP","OCT","NOV","DEC"}, 0),(DAY($D40))),INDIRECT(_xlfn.CONCAT("'Order Tracker'!S12:T",Data!$AM$3))))</f>
        <v>- -</v>
      </c>
      <c r="W40" s="156">
        <f t="shared" ca="1" si="4"/>
        <v>0</v>
      </c>
      <c r="X40" s="10"/>
      <c r="Y40" s="160" t="str">
        <f ca="1">IF(SUMIF(INDIRECT(_xlfn.CONCAT("'Order Tracker'!E12:F",Data!$AM$3)),DATE(2025,MATCH(UPPER($Y$10), {"JAN","FEB","MAR","APR","MAY","JUN","JUL","AUG","SEP","OCT","NOV","DEC"}, 0),(DAY($D40))),INDIRECT(_xlfn.CONCAT("'Order Tracker'!Q12:R",Data!$AM$3)))=0,"- -",SUMIF(INDIRECT(_xlfn.CONCAT("'Order Tracker'!E12:F",Data!$AM$3)),DATE(2025,MATCH(UPPER($Y$10), {"JAN","FEB","MAR","APR","MAY","JUN","JUL","AUG","SEP","OCT","NOV","DEC"}, 0),(DAY($D40))),INDIRECT(_xlfn.CONCAT("'Order Tracker'!Q12:R",Data!$AM$3))))</f>
        <v>- -</v>
      </c>
      <c r="Z40" s="160" t="str">
        <f ca="1">IF(SUMIF(INDIRECT(_xlfn.CONCAT("'Order Tracker'!E12:F",Data!$AM$3)),DATE(2025,MATCH(UPPER($Y$10), {"JAN","FEB","MAR","APR","MAY","JUN","JUL","AUG","SEP","OCT","NOV","DEC"}, 0),(DAY($D40))),INDIRECT(_xlfn.CONCAT("'Order Tracker'!S12:T",Data!$AM$3)))=0,"- -",SUMIF(INDIRECT(_xlfn.CONCAT("'Order Tracker'!E12:F",Data!$AM$3)),DATE(2025,MATCH(UPPER($Y$10), {"JAN","FEB","MAR","APR","MAY","JUN","JUL","AUG","SEP","OCT","NOV","DEC"}, 0),(DAY($D40))),INDIRECT(_xlfn.CONCAT("'Order Tracker'!S12:T",Data!$AM$3))))</f>
        <v>- -</v>
      </c>
      <c r="AA40" s="156">
        <f t="shared" ca="1" si="5"/>
        <v>0</v>
      </c>
      <c r="AB40" s="10"/>
      <c r="AC40" s="160" t="str">
        <f ca="1">IF(SUMIF(INDIRECT(_xlfn.CONCAT("'Order Tracker'!E12:F",Data!$AM$3)),DATE(2025,MATCH(UPPER($AC$10), {"JAN","FEB","MAR","APR","MAY","JUN","JUL","AUG","SEP","OCT","NOV","DEC"}, 0),(DAY($D40))),INDIRECT(_xlfn.CONCAT("'Order Tracker'!Q12:R",Data!$AM$3)))=0,"- -",SUMIF(INDIRECT(_xlfn.CONCAT("'Order Tracker'!E12:F",Data!$AM$3)),DATE(2025,MATCH(UPPER($AC$10), {"JAN","FEB","MAR","APR","MAY","JUN","JUL","AUG","SEP","OCT","NOV","DEC"}, 0),(DAY($D40))),INDIRECT(_xlfn.CONCAT("'Order Tracker'!Q12:R",Data!$AM$3))))</f>
        <v>- -</v>
      </c>
      <c r="AD40" s="160" t="str">
        <f ca="1">IF(SUMIF(INDIRECT(_xlfn.CONCAT("'Order Tracker'!E12:F",Data!$AM$3)),DATE(2025,MATCH(UPPER($AC$10), {"JAN","FEB","MAR","APR","MAY","JUN","JUL","AUG","SEP","OCT","NOV","DEC"}, 0),(DAY($D40))),INDIRECT(_xlfn.CONCAT("'Order Tracker'!S12:T",Data!$AM$3)))=0,"- -",SUMIF(INDIRECT(_xlfn.CONCAT("'Order Tracker'!E12:F",Data!$AM$3)),DATE(2025,MATCH(UPPER($AC$10), {"JAN","FEB","MAR","APR","MAY","JUN","JUL","AUG","SEP","OCT","NOV","DEC"}, 0),(DAY($D40))),INDIRECT(_xlfn.CONCAT("'Order Tracker'!S12:T",Data!$AM$3))))</f>
        <v>- -</v>
      </c>
      <c r="AE40" s="156">
        <f t="shared" ca="1" si="6"/>
        <v>0</v>
      </c>
      <c r="AF40" s="10"/>
      <c r="AG40" s="160" t="str">
        <f ca="1">IF(SUMIF(INDIRECT(_xlfn.CONCAT("'Order Tracker'!E12:F",Data!$AM$3)),DATE(2025,MATCH(UPPER($AG$10), {"JAN","FEB","MAR","APR","MAY","JUN","JUL","AUG","SEP","OCT","NOV","DEC"}, 0),(DAY($D40))),INDIRECT(_xlfn.CONCAT("'Order Tracker'!Q12:R",Data!$AM$3)))=0,"- -",SUMIF(INDIRECT(_xlfn.CONCAT("'Order Tracker'!E12:F",Data!$AM$3)),DATE(2025,MATCH(UPPER($AG$10), {"JAN","FEB","MAR","APR","MAY","JUN","JUL","AUG","SEP","OCT","NOV","DEC"}, 0),(DAY($D40))),INDIRECT(_xlfn.CONCAT("'Order Tracker'!Q12:R",Data!$AM$3))))</f>
        <v>- -</v>
      </c>
      <c r="AH40" s="160" t="str">
        <f ca="1">IF(SUMIF(INDIRECT(_xlfn.CONCAT("'Order Tracker'!E12:F",Data!$AM$3)),DATE(2025,MATCH(UPPER($AG$10), {"JAN","FEB","MAR","APR","MAY","JUN","JUL","AUG","SEP","OCT","NOV","DEC"}, 0),(DAY($D40))),INDIRECT(_xlfn.CONCAT("'Order Tracker'!S12:T",Data!$AM$3)))=0,"- -",SUMIF(INDIRECT(_xlfn.CONCAT("'Order Tracker'!E12:F",Data!$AM$3)),DATE(2025,MATCH(UPPER($AG$10), {"JAN","FEB","MAR","APR","MAY","JUN","JUL","AUG","SEP","OCT","NOV","DEC"}, 0),(DAY($D40))),INDIRECT(_xlfn.CONCAT("'Order Tracker'!S12:T",Data!$AM$3))))</f>
        <v>- -</v>
      </c>
      <c r="AI40" s="156">
        <f t="shared" ca="1" si="7"/>
        <v>0</v>
      </c>
      <c r="AJ40" s="10"/>
      <c r="AK40" s="160" t="str">
        <f ca="1">IF(SUMIF(INDIRECT(_xlfn.CONCAT("'Order Tracker'!E12:F",Data!$AM$3)),DATE(2025,MATCH(UPPER($AK$10), {"JAN","FEB","MAR","APR","MAY","JUN","JUL","AUG","SEP","OCT","NOV","DEC"}, 0),(DAY($D40))),INDIRECT(_xlfn.CONCAT("'Order Tracker'!Q12:R",Data!$AM$3)))=0,"- -",SUMIF(INDIRECT(_xlfn.CONCAT("'Order Tracker'!E12:F",Data!$AM$3)),DATE(2025,MATCH(UPPER($AK$10), {"JAN","FEB","MAR","APR","MAY","JUN","JUL","AUG","SEP","OCT","NOV","DEC"}, 0),(DAY($D40))),INDIRECT(_xlfn.CONCAT("'Order Tracker'!Q12:R",Data!$AM$3))))</f>
        <v>- -</v>
      </c>
      <c r="AL40" s="160" t="str">
        <f ca="1">IF(SUMIF(INDIRECT(_xlfn.CONCAT("'Order Tracker'!E12:F",Data!$AM$3)),DATE(2025,MATCH(UPPER($AK$10), {"JAN","FEB","MAR","APR","MAY","JUN","JUL","AUG","SEP","OCT","NOV","DEC"}, 0),(DAY($D40))),INDIRECT(_xlfn.CONCAT("'Order Tracker'!S12:T",Data!$AM$3)))=0,"- -",SUMIF(INDIRECT(_xlfn.CONCAT("'Order Tracker'!E12:F",Data!$AM$3)),DATE(2025,MATCH(UPPER($AK$10), {"JAN","FEB","MAR","APR","MAY","JUN","JUL","AUG","SEP","OCT","NOV","DEC"}, 0),(DAY($D40))),INDIRECT(_xlfn.CONCAT("'Order Tracker'!S12:T",Data!$AM$3))))</f>
        <v>- -</v>
      </c>
      <c r="AM40" s="156">
        <f t="shared" ca="1" si="8"/>
        <v>0</v>
      </c>
      <c r="AN40" s="10"/>
      <c r="AO40" s="160" t="str">
        <f ca="1">IF(SUMIF(INDIRECT(_xlfn.CONCAT("'Order Tracker'!E12:F",Data!$AM$3)),DATE(2025,MATCH(UPPER($AO$10), {"JAN","FEB","MAR","APR","MAY","JUN","JUL","AUG","SEP","OCT","NOV","DEC"}, 0),(DAY($D40))),INDIRECT(_xlfn.CONCAT("'Order Tracker'!Q12:R",Data!$AM$3)))=0,"- -",SUMIF(INDIRECT(_xlfn.CONCAT("'Order Tracker'!E12:F",Data!$AM$3)),DATE(2025,MATCH(UPPER($AO$10), {"JAN","FEB","MAR","APR","MAY","JUN","JUL","AUG","SEP","OCT","NOV","DEC"}, 0),(DAY($D40))),INDIRECT(_xlfn.CONCAT("'Order Tracker'!Q12:R",Data!$AM$3))))</f>
        <v>- -</v>
      </c>
      <c r="AP40" s="160" t="str">
        <f ca="1">IF(SUMIF(INDIRECT(_xlfn.CONCAT("'Order Tracker'!E12:F",Data!$AM$3)),DATE(2025,MATCH(UPPER($AO$10), {"JAN","FEB","MAR","APR","MAY","JUN","JUL","AUG","SEP","OCT","NOV","DEC"}, 0),(DAY($D40))),INDIRECT(_xlfn.CONCAT("'Order Tracker'!S12:T",Data!$AM$3)))=0,"- -",SUMIF(INDIRECT(_xlfn.CONCAT("'Order Tracker'!E12:F",Data!$AM$3)),DATE(2025,MATCH(UPPER($AO$10), {"JAN","FEB","MAR","APR","MAY","JUN","JUL","AUG","SEP","OCT","NOV","DEC"}, 0),(DAY($D40))),INDIRECT(_xlfn.CONCAT("'Order Tracker'!S12:T",Data!$AM$3))))</f>
        <v>- -</v>
      </c>
      <c r="AQ40" s="156">
        <f t="shared" ca="1" si="9"/>
        <v>0</v>
      </c>
      <c r="AR40" s="10"/>
      <c r="AS40" s="160" t="str">
        <f ca="1">IF(SUMIF(INDIRECT(_xlfn.CONCAT("'Order Tracker'!E12:F",Data!$AM$3)),DATE(2025,MATCH(UPPER($AS$10), {"JAN","FEB","MAR","APR","MAY","JUN","JUL","AUG","SEP","OCT","NOV","DEC"}, 0),(DAY($D40))),INDIRECT(_xlfn.CONCAT("'Order Tracker'!Q12:R",Data!$AM$3)))=0,"- -",SUMIF(INDIRECT(_xlfn.CONCAT("'Order Tracker'!E12:F",Data!$AM$3)),DATE(2025,MATCH(UPPER($AS$10), {"JAN","FEB","MAR","APR","MAY","JUN","JUL","AUG","SEP","OCT","NOV","DEC"}, 0),(DAY($D40))),INDIRECT(_xlfn.CONCAT("'Order Tracker'!Q12:R",Data!$AM$3))))</f>
        <v>- -</v>
      </c>
      <c r="AT40" s="160" t="str">
        <f ca="1">IF(SUMIF(INDIRECT(_xlfn.CONCAT("'Order Tracker'!E12:F",Data!$AM$3)),DATE(2025,MATCH(UPPER($AS$10), {"JAN","FEB","MAR","APR","MAY","JUN","JUL","AUG","SEP","OCT","NOV","DEC"}, 0),(DAY($D40))),INDIRECT(_xlfn.CONCAT("'Order Tracker'!S12:T",Data!$AM$3)))=0,"- -",SUMIF(INDIRECT(_xlfn.CONCAT("'Order Tracker'!E12:F",Data!$AM$3)),DATE(2025,MATCH(UPPER($AS$10), {"JAN","FEB","MAR","APR","MAY","JUN","JUL","AUG","SEP","OCT","NOV","DEC"}, 0),(DAY($D40))),INDIRECT(_xlfn.CONCAT("'Order Tracker'!S12:T",Data!$AM$3))))</f>
        <v>- -</v>
      </c>
      <c r="AU40" s="156">
        <f t="shared" ca="1" si="10"/>
        <v>0</v>
      </c>
      <c r="AV40" s="7"/>
      <c r="AW40" s="160" t="str">
        <f ca="1">IF(SUMIF(INDIRECT(_xlfn.CONCAT("'Order Tracker'!E12:F",Data!$AM$3)),DATE(2025,MATCH(UPPER($AW$10), {"JAN","FEB","MAR","APR","MAY","JUN","JUL","AUG","SEP","OCT","NOV","DEC"}, 0),(DAY($D40))),INDIRECT(_xlfn.CONCAT("'Order Tracker'!Q12:R",Data!$AM$3)))=0,"- -",SUMIF(INDIRECT(_xlfn.CONCAT("'Order Tracker'!E12:F",Data!$AM$3)),DATE(2025,MATCH(UPPER($AW$10), {"JAN","FEB","MAR","APR","MAY","JUN","JUL","AUG","SEP","OCT","NOV","DEC"}, 0),(DAY($D40))),INDIRECT(_xlfn.CONCAT("'Order Tracker'!Q12:R",Data!$AM$3))))</f>
        <v>- -</v>
      </c>
      <c r="AX40" s="160" t="str">
        <f ca="1">IF(SUMIF(INDIRECT(_xlfn.CONCAT("'Order Tracker'!E12:F",Data!$AM$3)),DATE(2025,MATCH(UPPER($AW$10), {"JAN","FEB","MAR","APR","MAY","JUN","JUL","AUG","SEP","OCT","NOV","DEC"}, 0),(DAY($D40))),INDIRECT(_xlfn.CONCAT("'Order Tracker'!S12:T",Data!$AM$3)))=0,"- -",SUMIF(INDIRECT(_xlfn.CONCAT("'Order Tracker'!E12:F",Data!$AM$3)),DATE(2025,MATCH(UPPER($AW$10), {"JAN","FEB","MAR","APR","MAY","JUN","JUL","AUG","SEP","OCT","NOV","DEC"}, 0),(DAY($D40))),INDIRECT(_xlfn.CONCAT("'Order Tracker'!S12:T",Data!$AM$3))))</f>
        <v>- -</v>
      </c>
      <c r="AY40" s="156">
        <f t="shared" ca="1" si="11"/>
        <v>0</v>
      </c>
      <c r="AZ40" s="109"/>
    </row>
    <row r="41" spans="4:52" ht="18" hidden="1" x14ac:dyDescent="0.2">
      <c r="D41" s="151">
        <v>28</v>
      </c>
      <c r="E41" s="160" t="str">
        <f ca="1">IF(SUMIF(INDIRECT(_xlfn.CONCAT("'Order Tracker'!E12:F",Data!$AM$3)),DATE(2025,MATCH(UPPER($E$10), {"JAN","FEB","MAR","APR","MAY","JUN","JUL","AUG","SEP","OCT","NOV","DEC"}, 0),(DAY($D41))),INDIRECT(_xlfn.CONCAT("'Order Tracker'!Q12:R",Data!$AM$3)))=0,"- -",SUMIF(INDIRECT(_xlfn.CONCAT("'Order Tracker'!E12:F",Data!$AM$3)),DATE(2025,MATCH(UPPER($E$10), {"JAN","FEB","MAR","APR","MAY","JUN","JUL","AUG","SEP","OCT","NOV","DEC"}, 0),(DAY($D41))),INDIRECT(_xlfn.CONCAT("'Order Tracker'!Q12:R",Data!$AM$3))))</f>
        <v>- -</v>
      </c>
      <c r="F41" s="160" t="str">
        <f ca="1">IF(SUMIF(INDIRECT(_xlfn.CONCAT("'Order Tracker'!E12:F",Data!$AM$3)),DATE(2025,MATCH(UPPER($E$10), {"JAN","FEB","MAR","APR","MAY","JUN","JUL","AUG","SEP","OCT","NOV","DEC"}, 0),(DAY($D41))),INDIRECT(_xlfn.CONCAT("'Order Tracker'!S12:T",Data!$AM$3)))=0,"- -",SUMIF(INDIRECT(_xlfn.CONCAT("'Order Tracker'!E12:F",Data!$AM$3)),DATE(2025,MATCH(UPPER($E$10), {"JAN","FEB","MAR","APR","MAY","JUN","JUL","AUG","SEP","OCT","NOV","DEC"}, 0),(DAY($D41))),INDIRECT(_xlfn.CONCAT("'Order Tracker'!S12:T",Data!$AM$3))))</f>
        <v>- -</v>
      </c>
      <c r="G41" s="156">
        <f t="shared" ca="1" si="0"/>
        <v>0</v>
      </c>
      <c r="H41" s="10"/>
      <c r="I41" s="160" t="str">
        <f ca="1">IF(SUMIF(INDIRECT(_xlfn.CONCAT("'Order Tracker'!E12:F",Data!$AM$3)),DATE(2025,MATCH(UPPER($I$10), {"JAN","FEB","MAR","APR","MAY","JUN","JUL","AUG","SEP","OCT","NOV","DEC"}, 0),(DAY($D41))),INDIRECT(_xlfn.CONCAT("'Order Tracker'!Q12:R",Data!$AM$3)))=0,"- -",SUMIF(INDIRECT(_xlfn.CONCAT("'Order Tracker'!E12:F",Data!$AM$3)),DATE(2025,MATCH(UPPER($I$10), {"JAN","FEB","MAR","APR","MAY","JUN","JUL","AUG","SEP","OCT","NOV","DEC"}, 0),(DAY($D41))),INDIRECT(_xlfn.CONCAT("'Order Tracker'!Q12:R",Data!$AM$3))))</f>
        <v>- -</v>
      </c>
      <c r="J41" s="160" t="str">
        <f ca="1">IF(SUMIF(INDIRECT(_xlfn.CONCAT("'Order Tracker'!E12:F",Data!$AM$3)),DATE(2025,MATCH(UPPER($I$10), {"JAN","FEB","MAR","APR","MAY","JUN","JUL","AUG","SEP","OCT","NOV","DEC"}, 0),(DAY($D41))),INDIRECT(_xlfn.CONCAT("'Order Tracker'!S12:T",Data!$AM$3)))=0,"- -",SUMIF(INDIRECT(_xlfn.CONCAT("'Order Tracker'!E12:F",Data!$AM$3)),DATE(2025,MATCH(UPPER($I$10), {"JAN","FEB","MAR","APR","MAY","JUN","JUL","AUG","SEP","OCT","NOV","DEC"}, 0),(DAY($D41))),INDIRECT(_xlfn.CONCAT("'Order Tracker'!S12:T",Data!$AM$3))))</f>
        <v>- -</v>
      </c>
      <c r="K41" s="156">
        <f t="shared" ca="1" si="1"/>
        <v>0</v>
      </c>
      <c r="L41" s="10"/>
      <c r="M41" s="160" t="str">
        <f ca="1">IF(SUMIF(INDIRECT(_xlfn.CONCAT("'Order Tracker'!E12:F",Data!$AM$3)),DATE(2025,MATCH(UPPER($M$10), {"JAN","FEB","MAR","APR","MAY","JUN","JUL","AUG","SEP","OCT","NOV","DEC"}, 0),(DAY($D41))),INDIRECT(_xlfn.CONCAT("'Order Tracker'!Q12:R",Data!$AM$3)))=0,"- -",SUMIF(INDIRECT(_xlfn.CONCAT("'Order Tracker'!E12:F",Data!$AM$3)),DATE(2025,MATCH(UPPER($M$10), {"JAN","FEB","MAR","APR","MAY","JUN","JUL","AUG","SEP","OCT","NOV","DEC"}, 0),(DAY($D41))),INDIRECT(_xlfn.CONCAT("'Order Tracker'!Q12:R",Data!$AM$3))))</f>
        <v>- -</v>
      </c>
      <c r="N41" s="160" t="str">
        <f ca="1">IF(SUMIF(INDIRECT(_xlfn.CONCAT("'Order Tracker'!E12:F",Data!$AM$3)),DATE(2025,MATCH(UPPER($M$10), {"JAN","FEB","MAR","APR","MAY","JUN","JUL","AUG","SEP","OCT","NOV","DEC"}, 0),(DAY($D41))),INDIRECT(_xlfn.CONCAT("'Order Tracker'!S12:T",Data!$AM$3)))=0,"- -",SUMIF(INDIRECT(_xlfn.CONCAT("'Order Tracker'!E12:F",Data!$AM$3)),DATE(2025,MATCH(UPPER($M$10), {"JAN","FEB","MAR","APR","MAY","JUN","JUL","AUG","SEP","OCT","NOV","DEC"}, 0),(DAY($D41))),INDIRECT(_xlfn.CONCAT("'Order Tracker'!S12:T",Data!$AM$3))))</f>
        <v>- -</v>
      </c>
      <c r="O41" s="156">
        <f t="shared" ca="1" si="2"/>
        <v>0</v>
      </c>
      <c r="P41" s="10"/>
      <c r="Q41" s="160" t="str">
        <f ca="1">IF(SUMIF(INDIRECT(_xlfn.CONCAT("'Order Tracker'!E12:F",Data!$AM$3)),DATE(2025,MATCH(UPPER($Q$10), {"JAN","FEB","MAR","APR","MAY","JUN","JUL","AUG","SEP","OCT","NOV","DEC"}, 0),(DAY($D41))),INDIRECT(_xlfn.CONCAT("'Order Tracker'!Q12:R",Data!$AM$3)))=0,"- -",SUMIF(INDIRECT(_xlfn.CONCAT("'Order Tracker'!E12:F",Data!$AM$3)),DATE(2025,MATCH(UPPER($Q$10), {"JAN","FEB","MAR","APR","MAY","JUN","JUL","AUG","SEP","OCT","NOV","DEC"}, 0),(DAY($D41))),INDIRECT(_xlfn.CONCAT("'Order Tracker'!Q12:R",Data!$AM$3))))</f>
        <v>- -</v>
      </c>
      <c r="R41" s="160" t="str">
        <f ca="1">IF(SUMIF(INDIRECT(_xlfn.CONCAT("'Order Tracker'!E12:F",Data!$AM$3)),DATE(2025,MATCH(UPPER($Q$10), {"JAN","FEB","MAR","APR","MAY","JUN","JUL","AUG","SEP","OCT","NOV","DEC"}, 0),(DAY($D41))),INDIRECT(_xlfn.CONCAT("'Order Tracker'!S12:T",Data!$AM$3)))=0,"- -",SUMIF(INDIRECT(_xlfn.CONCAT("'Order Tracker'!E12:F",Data!$AM$3)),DATE(2025,MATCH(UPPER($Q$10), {"JAN","FEB","MAR","APR","MAY","JUN","JUL","AUG","SEP","OCT","NOV","DEC"}, 0),(DAY($D41))),INDIRECT(_xlfn.CONCAT("'Order Tracker'!S12:T",Data!$AM$3))))</f>
        <v>- -</v>
      </c>
      <c r="S41" s="156">
        <f t="shared" ca="1" si="3"/>
        <v>0</v>
      </c>
      <c r="T41" s="10"/>
      <c r="U41" s="160" t="str">
        <f ca="1">IF(SUMIF(INDIRECT(_xlfn.CONCAT("'Order Tracker'!E12:F",Data!$AM$3)),DATE(2025,MATCH(UPPER($U$10), {"JAN","FEB","MAR","APR","MAY","JUN","JUL","AUG","SEP","OCT","NOV","DEC"}, 0),(DAY($D41))),INDIRECT(_xlfn.CONCAT("'Order Tracker'!Q12:R",Data!$AM$3)))=0,"- -",SUMIF(INDIRECT(_xlfn.CONCAT("'Order Tracker'!E12:F",Data!$AM$3)),DATE(2025,MATCH(UPPER($U$10), {"JAN","FEB","MAR","APR","MAY","JUN","JUL","AUG","SEP","OCT","NOV","DEC"}, 0),(DAY($D41))),INDIRECT(_xlfn.CONCAT("'Order Tracker'!Q12:R",Data!$AM$3))))</f>
        <v>- -</v>
      </c>
      <c r="V41" s="160" t="str">
        <f ca="1">IF(SUMIF(INDIRECT(_xlfn.CONCAT("'Order Tracker'!E12:F",Data!$AM$3)),DATE(2025,MATCH(UPPER($U$10), {"JAN","FEB","MAR","APR","MAY","JUN","JUL","AUG","SEP","OCT","NOV","DEC"}, 0),(DAY($D41))),INDIRECT(_xlfn.CONCAT("'Order Tracker'!S12:T",Data!$AM$3)))=0,"- -",SUMIF(INDIRECT(_xlfn.CONCAT("'Order Tracker'!E12:F",Data!$AM$3)),DATE(2025,MATCH(UPPER($U$10), {"JAN","FEB","MAR","APR","MAY","JUN","JUL","AUG","SEP","OCT","NOV","DEC"}, 0),(DAY($D41))),INDIRECT(_xlfn.CONCAT("'Order Tracker'!S12:T",Data!$AM$3))))</f>
        <v>- -</v>
      </c>
      <c r="W41" s="156">
        <f t="shared" ca="1" si="4"/>
        <v>0</v>
      </c>
      <c r="X41" s="10"/>
      <c r="Y41" s="160" t="str">
        <f ca="1">IF(SUMIF(INDIRECT(_xlfn.CONCAT("'Order Tracker'!E12:F",Data!$AM$3)),DATE(2025,MATCH(UPPER($Y$10), {"JAN","FEB","MAR","APR","MAY","JUN","JUL","AUG","SEP","OCT","NOV","DEC"}, 0),(DAY($D41))),INDIRECT(_xlfn.CONCAT("'Order Tracker'!Q12:R",Data!$AM$3)))=0,"- -",SUMIF(INDIRECT(_xlfn.CONCAT("'Order Tracker'!E12:F",Data!$AM$3)),DATE(2025,MATCH(UPPER($Y$10), {"JAN","FEB","MAR","APR","MAY","JUN","JUL","AUG","SEP","OCT","NOV","DEC"}, 0),(DAY($D41))),INDIRECT(_xlfn.CONCAT("'Order Tracker'!Q12:R",Data!$AM$3))))</f>
        <v>- -</v>
      </c>
      <c r="Z41" s="160" t="str">
        <f ca="1">IF(SUMIF(INDIRECT(_xlfn.CONCAT("'Order Tracker'!E12:F",Data!$AM$3)),DATE(2025,MATCH(UPPER($Y$10), {"JAN","FEB","MAR","APR","MAY","JUN","JUL","AUG","SEP","OCT","NOV","DEC"}, 0),(DAY($D41))),INDIRECT(_xlfn.CONCAT("'Order Tracker'!S12:T",Data!$AM$3)))=0,"- -",SUMIF(INDIRECT(_xlfn.CONCAT("'Order Tracker'!E12:F",Data!$AM$3)),DATE(2025,MATCH(UPPER($Y$10), {"JAN","FEB","MAR","APR","MAY","JUN","JUL","AUG","SEP","OCT","NOV","DEC"}, 0),(DAY($D41))),INDIRECT(_xlfn.CONCAT("'Order Tracker'!S12:T",Data!$AM$3))))</f>
        <v>- -</v>
      </c>
      <c r="AA41" s="156">
        <f t="shared" ca="1" si="5"/>
        <v>0</v>
      </c>
      <c r="AB41" s="10"/>
      <c r="AC41" s="160" t="str">
        <f ca="1">IF(SUMIF(INDIRECT(_xlfn.CONCAT("'Order Tracker'!E12:F",Data!$AM$3)),DATE(2025,MATCH(UPPER($AC$10), {"JAN","FEB","MAR","APR","MAY","JUN","JUL","AUG","SEP","OCT","NOV","DEC"}, 0),(DAY($D41))),INDIRECT(_xlfn.CONCAT("'Order Tracker'!Q12:R",Data!$AM$3)))=0,"- -",SUMIF(INDIRECT(_xlfn.CONCAT("'Order Tracker'!E12:F",Data!$AM$3)),DATE(2025,MATCH(UPPER($AC$10), {"JAN","FEB","MAR","APR","MAY","JUN","JUL","AUG","SEP","OCT","NOV","DEC"}, 0),(DAY($D41))),INDIRECT(_xlfn.CONCAT("'Order Tracker'!Q12:R",Data!$AM$3))))</f>
        <v>- -</v>
      </c>
      <c r="AD41" s="160" t="str">
        <f ca="1">IF(SUMIF(INDIRECT(_xlfn.CONCAT("'Order Tracker'!E12:F",Data!$AM$3)),DATE(2025,MATCH(UPPER($AC$10), {"JAN","FEB","MAR","APR","MAY","JUN","JUL","AUG","SEP","OCT","NOV","DEC"}, 0),(DAY($D41))),INDIRECT(_xlfn.CONCAT("'Order Tracker'!S12:T",Data!$AM$3)))=0,"- -",SUMIF(INDIRECT(_xlfn.CONCAT("'Order Tracker'!E12:F",Data!$AM$3)),DATE(2025,MATCH(UPPER($AC$10), {"JAN","FEB","MAR","APR","MAY","JUN","JUL","AUG","SEP","OCT","NOV","DEC"}, 0),(DAY($D41))),INDIRECT(_xlfn.CONCAT("'Order Tracker'!S12:T",Data!$AM$3))))</f>
        <v>- -</v>
      </c>
      <c r="AE41" s="156">
        <f t="shared" ca="1" si="6"/>
        <v>0</v>
      </c>
      <c r="AF41" s="10"/>
      <c r="AG41" s="160" t="str">
        <f ca="1">IF(SUMIF(INDIRECT(_xlfn.CONCAT("'Order Tracker'!E12:F",Data!$AM$3)),DATE(2025,MATCH(UPPER($AG$10), {"JAN","FEB","MAR","APR","MAY","JUN","JUL","AUG","SEP","OCT","NOV","DEC"}, 0),(DAY($D41))),INDIRECT(_xlfn.CONCAT("'Order Tracker'!Q12:R",Data!$AM$3)))=0,"- -",SUMIF(INDIRECT(_xlfn.CONCAT("'Order Tracker'!E12:F",Data!$AM$3)),DATE(2025,MATCH(UPPER($AG$10), {"JAN","FEB","MAR","APR","MAY","JUN","JUL","AUG","SEP","OCT","NOV","DEC"}, 0),(DAY($D41))),INDIRECT(_xlfn.CONCAT("'Order Tracker'!Q12:R",Data!$AM$3))))</f>
        <v>- -</v>
      </c>
      <c r="AH41" s="160" t="str">
        <f ca="1">IF(SUMIF(INDIRECT(_xlfn.CONCAT("'Order Tracker'!E12:F",Data!$AM$3)),DATE(2025,MATCH(UPPER($AG$10), {"JAN","FEB","MAR","APR","MAY","JUN","JUL","AUG","SEP","OCT","NOV","DEC"}, 0),(DAY($D41))),INDIRECT(_xlfn.CONCAT("'Order Tracker'!S12:T",Data!$AM$3)))=0,"- -",SUMIF(INDIRECT(_xlfn.CONCAT("'Order Tracker'!E12:F",Data!$AM$3)),DATE(2025,MATCH(UPPER($AG$10), {"JAN","FEB","MAR","APR","MAY","JUN","JUL","AUG","SEP","OCT","NOV","DEC"}, 0),(DAY($D41))),INDIRECT(_xlfn.CONCAT("'Order Tracker'!S12:T",Data!$AM$3))))</f>
        <v>- -</v>
      </c>
      <c r="AI41" s="156">
        <f t="shared" ca="1" si="7"/>
        <v>0</v>
      </c>
      <c r="AJ41" s="10"/>
      <c r="AK41" s="160" t="str">
        <f ca="1">IF(SUMIF(INDIRECT(_xlfn.CONCAT("'Order Tracker'!E12:F",Data!$AM$3)),DATE(2025,MATCH(UPPER($AK$10), {"JAN","FEB","MAR","APR","MAY","JUN","JUL","AUG","SEP","OCT","NOV","DEC"}, 0),(DAY($D41))),INDIRECT(_xlfn.CONCAT("'Order Tracker'!Q12:R",Data!$AM$3)))=0,"- -",SUMIF(INDIRECT(_xlfn.CONCAT("'Order Tracker'!E12:F",Data!$AM$3)),DATE(2025,MATCH(UPPER($AK$10), {"JAN","FEB","MAR","APR","MAY","JUN","JUL","AUG","SEP","OCT","NOV","DEC"}, 0),(DAY($D41))),INDIRECT(_xlfn.CONCAT("'Order Tracker'!Q12:R",Data!$AM$3))))</f>
        <v>- -</v>
      </c>
      <c r="AL41" s="160" t="str">
        <f ca="1">IF(SUMIF(INDIRECT(_xlfn.CONCAT("'Order Tracker'!E12:F",Data!$AM$3)),DATE(2025,MATCH(UPPER($AK$10), {"JAN","FEB","MAR","APR","MAY","JUN","JUL","AUG","SEP","OCT","NOV","DEC"}, 0),(DAY($D41))),INDIRECT(_xlfn.CONCAT("'Order Tracker'!S12:T",Data!$AM$3)))=0,"- -",SUMIF(INDIRECT(_xlfn.CONCAT("'Order Tracker'!E12:F",Data!$AM$3)),DATE(2025,MATCH(UPPER($AK$10), {"JAN","FEB","MAR","APR","MAY","JUN","JUL","AUG","SEP","OCT","NOV","DEC"}, 0),(DAY($D41))),INDIRECT(_xlfn.CONCAT("'Order Tracker'!S12:T",Data!$AM$3))))</f>
        <v>- -</v>
      </c>
      <c r="AM41" s="156">
        <f t="shared" ca="1" si="8"/>
        <v>0</v>
      </c>
      <c r="AN41" s="10"/>
      <c r="AO41" s="160" t="str">
        <f ca="1">IF(SUMIF(INDIRECT(_xlfn.CONCAT("'Order Tracker'!E12:F",Data!$AM$3)),DATE(2025,MATCH(UPPER($AO$10), {"JAN","FEB","MAR","APR","MAY","JUN","JUL","AUG","SEP","OCT","NOV","DEC"}, 0),(DAY($D41))),INDIRECT(_xlfn.CONCAT("'Order Tracker'!Q12:R",Data!$AM$3)))=0,"- -",SUMIF(INDIRECT(_xlfn.CONCAT("'Order Tracker'!E12:F",Data!$AM$3)),DATE(2025,MATCH(UPPER($AO$10), {"JAN","FEB","MAR","APR","MAY","JUN","JUL","AUG","SEP","OCT","NOV","DEC"}, 0),(DAY($D41))),INDIRECT(_xlfn.CONCAT("'Order Tracker'!Q12:R",Data!$AM$3))))</f>
        <v>- -</v>
      </c>
      <c r="AP41" s="160" t="str">
        <f ca="1">IF(SUMIF(INDIRECT(_xlfn.CONCAT("'Order Tracker'!E12:F",Data!$AM$3)),DATE(2025,MATCH(UPPER($AO$10), {"JAN","FEB","MAR","APR","MAY","JUN","JUL","AUG","SEP","OCT","NOV","DEC"}, 0),(DAY($D41))),INDIRECT(_xlfn.CONCAT("'Order Tracker'!S12:T",Data!$AM$3)))=0,"- -",SUMIF(INDIRECT(_xlfn.CONCAT("'Order Tracker'!E12:F",Data!$AM$3)),DATE(2025,MATCH(UPPER($AO$10), {"JAN","FEB","MAR","APR","MAY","JUN","JUL","AUG","SEP","OCT","NOV","DEC"}, 0),(DAY($D41))),INDIRECT(_xlfn.CONCAT("'Order Tracker'!S12:T",Data!$AM$3))))</f>
        <v>- -</v>
      </c>
      <c r="AQ41" s="156">
        <f t="shared" ca="1" si="9"/>
        <v>0</v>
      </c>
      <c r="AR41" s="10"/>
      <c r="AS41" s="160" t="str">
        <f ca="1">IF(SUMIF(INDIRECT(_xlfn.CONCAT("'Order Tracker'!E12:F",Data!$AM$3)),DATE(2025,MATCH(UPPER($AS$10), {"JAN","FEB","MAR","APR","MAY","JUN","JUL","AUG","SEP","OCT","NOV","DEC"}, 0),(DAY($D41))),INDIRECT(_xlfn.CONCAT("'Order Tracker'!Q12:R",Data!$AM$3)))=0,"- -",SUMIF(INDIRECT(_xlfn.CONCAT("'Order Tracker'!E12:F",Data!$AM$3)),DATE(2025,MATCH(UPPER($AS$10), {"JAN","FEB","MAR","APR","MAY","JUN","JUL","AUG","SEP","OCT","NOV","DEC"}, 0),(DAY($D41))),INDIRECT(_xlfn.CONCAT("'Order Tracker'!Q12:R",Data!$AM$3))))</f>
        <v>- -</v>
      </c>
      <c r="AT41" s="160" t="str">
        <f ca="1">IF(SUMIF(INDIRECT(_xlfn.CONCAT("'Order Tracker'!E12:F",Data!$AM$3)),DATE(2025,MATCH(UPPER($AS$10), {"JAN","FEB","MAR","APR","MAY","JUN","JUL","AUG","SEP","OCT","NOV","DEC"}, 0),(DAY($D41))),INDIRECT(_xlfn.CONCAT("'Order Tracker'!S12:T",Data!$AM$3)))=0,"- -",SUMIF(INDIRECT(_xlfn.CONCAT("'Order Tracker'!E12:F",Data!$AM$3)),DATE(2025,MATCH(UPPER($AS$10), {"JAN","FEB","MAR","APR","MAY","JUN","JUL","AUG","SEP","OCT","NOV","DEC"}, 0),(DAY($D41))),INDIRECT(_xlfn.CONCAT("'Order Tracker'!S12:T",Data!$AM$3))))</f>
        <v>- -</v>
      </c>
      <c r="AU41" s="156">
        <f t="shared" ca="1" si="10"/>
        <v>0</v>
      </c>
      <c r="AV41" s="7"/>
      <c r="AW41" s="160" t="str">
        <f ca="1">IF(SUMIF(INDIRECT(_xlfn.CONCAT("'Order Tracker'!E12:F",Data!$AM$3)),DATE(2025,MATCH(UPPER($AW$10), {"JAN","FEB","MAR","APR","MAY","JUN","JUL","AUG","SEP","OCT","NOV","DEC"}, 0),(DAY($D41))),INDIRECT(_xlfn.CONCAT("'Order Tracker'!Q12:R",Data!$AM$3)))=0,"- -",SUMIF(INDIRECT(_xlfn.CONCAT("'Order Tracker'!E12:F",Data!$AM$3)),DATE(2025,MATCH(UPPER($AW$10), {"JAN","FEB","MAR","APR","MAY","JUN","JUL","AUG","SEP","OCT","NOV","DEC"}, 0),(DAY($D41))),INDIRECT(_xlfn.CONCAT("'Order Tracker'!Q12:R",Data!$AM$3))))</f>
        <v>- -</v>
      </c>
      <c r="AX41" s="160" t="str">
        <f ca="1">IF(SUMIF(INDIRECT(_xlfn.CONCAT("'Order Tracker'!E12:F",Data!$AM$3)),DATE(2025,MATCH(UPPER($AW$10), {"JAN","FEB","MAR","APR","MAY","JUN","JUL","AUG","SEP","OCT","NOV","DEC"}, 0),(DAY($D41))),INDIRECT(_xlfn.CONCAT("'Order Tracker'!S12:T",Data!$AM$3)))=0,"- -",SUMIF(INDIRECT(_xlfn.CONCAT("'Order Tracker'!E12:F",Data!$AM$3)),DATE(2025,MATCH(UPPER($AW$10), {"JAN","FEB","MAR","APR","MAY","JUN","JUL","AUG","SEP","OCT","NOV","DEC"}, 0),(DAY($D41))),INDIRECT(_xlfn.CONCAT("'Order Tracker'!S12:T",Data!$AM$3))))</f>
        <v>- -</v>
      </c>
      <c r="AY41" s="156">
        <f t="shared" ca="1" si="11"/>
        <v>0</v>
      </c>
      <c r="AZ41" s="109"/>
    </row>
    <row r="42" spans="4:52" ht="18" hidden="1" x14ac:dyDescent="0.2">
      <c r="D42" s="151">
        <v>29</v>
      </c>
      <c r="E42" s="160" t="str">
        <f ca="1">IF(SUMIF(INDIRECT(_xlfn.CONCAT("'Order Tracker'!E12:F",Data!$AM$3)),DATE(2025,MATCH(UPPER($E$10), {"JAN","FEB","MAR","APR","MAY","JUN","JUL","AUG","SEP","OCT","NOV","DEC"}, 0),(DAY($D42))),INDIRECT(_xlfn.CONCAT("'Order Tracker'!Q12:R",Data!$AM$3)))=0,"- -",SUMIF(INDIRECT(_xlfn.CONCAT("'Order Tracker'!E12:F",Data!$AM$3)),DATE(2025,MATCH(UPPER($E$10), {"JAN","FEB","MAR","APR","MAY","JUN","JUL","AUG","SEP","OCT","NOV","DEC"}, 0),(DAY($D42))),INDIRECT(_xlfn.CONCAT("'Order Tracker'!Q12:R",Data!$AM$3))))</f>
        <v>- -</v>
      </c>
      <c r="F42" s="160" t="str">
        <f ca="1">IF(SUMIF(INDIRECT(_xlfn.CONCAT("'Order Tracker'!E12:F",Data!$AM$3)),DATE(2025,MATCH(UPPER($E$10), {"JAN","FEB","MAR","APR","MAY","JUN","JUL","AUG","SEP","OCT","NOV","DEC"}, 0),(DAY($D42))),INDIRECT(_xlfn.CONCAT("'Order Tracker'!S12:T",Data!$AM$3)))=0,"- -",SUMIF(INDIRECT(_xlfn.CONCAT("'Order Tracker'!E12:F",Data!$AM$3)),DATE(2025,MATCH(UPPER($E$10), {"JAN","FEB","MAR","APR","MAY","JUN","JUL","AUG","SEP","OCT","NOV","DEC"}, 0),(DAY($D42))),INDIRECT(_xlfn.CONCAT("'Order Tracker'!S12:T",Data!$AM$3))))</f>
        <v>- -</v>
      </c>
      <c r="G42" s="156">
        <f t="shared" ca="1" si="0"/>
        <v>0</v>
      </c>
      <c r="H42" s="10"/>
      <c r="I42" s="160" t="str">
        <f ca="1">IF(SUMIF(INDIRECT(_xlfn.CONCAT("'Order Tracker'!E12:F",Data!$AM$3)),DATE(2025,MATCH(UPPER($I$10), {"JAN","FEB","MAR","APR","MAY","JUN","JUL","AUG","SEP","OCT","NOV","DEC"}, 0),(DAY($D42))),INDIRECT(_xlfn.CONCAT("'Order Tracker'!Q12:R",Data!$AM$3)))=0,"- -",SUMIF(INDIRECT(_xlfn.CONCAT("'Order Tracker'!E12:F",Data!$AM$3)),DATE(2025,MATCH(UPPER($I$10), {"JAN","FEB","MAR","APR","MAY","JUN","JUL","AUG","SEP","OCT","NOV","DEC"}, 0),(DAY($D42))),INDIRECT(_xlfn.CONCAT("'Order Tracker'!Q12:R",Data!$AM$3))))</f>
        <v>- -</v>
      </c>
      <c r="J42" s="160" t="str">
        <f ca="1">IF(SUMIF(INDIRECT(_xlfn.CONCAT("'Order Tracker'!E12:F",Data!$AM$3)),DATE(2025,MATCH(UPPER($I$10), {"JAN","FEB","MAR","APR","MAY","JUN","JUL","AUG","SEP","OCT","NOV","DEC"}, 0),(DAY($D42))),INDIRECT(_xlfn.CONCAT("'Order Tracker'!S12:T",Data!$AM$3)))=0,"- -",SUMIF(INDIRECT(_xlfn.CONCAT("'Order Tracker'!E12:F",Data!$AM$3)),DATE(2025,MATCH(UPPER($I$10), {"JAN","FEB","MAR","APR","MAY","JUN","JUL","AUG","SEP","OCT","NOV","DEC"}, 0),(DAY($D42))),INDIRECT(_xlfn.CONCAT("'Order Tracker'!S12:T",Data!$AM$3))))</f>
        <v>- -</v>
      </c>
      <c r="K42" s="156">
        <f t="shared" ca="1" si="1"/>
        <v>0</v>
      </c>
      <c r="L42" s="10"/>
      <c r="M42" s="160" t="str">
        <f ca="1">IF(SUMIF(INDIRECT(_xlfn.CONCAT("'Order Tracker'!E12:F",Data!$AM$3)),DATE(2025,MATCH(UPPER($M$10), {"JAN","FEB","MAR","APR","MAY","JUN","JUL","AUG","SEP","OCT","NOV","DEC"}, 0),(DAY($D42))),INDIRECT(_xlfn.CONCAT("'Order Tracker'!Q12:R",Data!$AM$3)))=0,"- -",SUMIF(INDIRECT(_xlfn.CONCAT("'Order Tracker'!E12:F",Data!$AM$3)),DATE(2025,MATCH(UPPER($M$10), {"JAN","FEB","MAR","APR","MAY","JUN","JUL","AUG","SEP","OCT","NOV","DEC"}, 0),(DAY($D42))),INDIRECT(_xlfn.CONCAT("'Order Tracker'!Q12:R",Data!$AM$3))))</f>
        <v>- -</v>
      </c>
      <c r="N42" s="160" t="str">
        <f ca="1">IF(SUMIF(INDIRECT(_xlfn.CONCAT("'Order Tracker'!E12:F",Data!$AM$3)),DATE(2025,MATCH(UPPER($M$10), {"JAN","FEB","MAR","APR","MAY","JUN","JUL","AUG","SEP","OCT","NOV","DEC"}, 0),(DAY($D42))),INDIRECT(_xlfn.CONCAT("'Order Tracker'!S12:T",Data!$AM$3)))=0,"- -",SUMIF(INDIRECT(_xlfn.CONCAT("'Order Tracker'!E12:F",Data!$AM$3)),DATE(2025,MATCH(UPPER($M$10), {"JAN","FEB","MAR","APR","MAY","JUN","JUL","AUG","SEP","OCT","NOV","DEC"}, 0),(DAY($D42))),INDIRECT(_xlfn.CONCAT("'Order Tracker'!S12:T",Data!$AM$3))))</f>
        <v>- -</v>
      </c>
      <c r="O42" s="156">
        <f t="shared" ca="1" si="2"/>
        <v>0</v>
      </c>
      <c r="P42" s="10"/>
      <c r="Q42" s="160" t="str">
        <f ca="1">IF(SUMIF(INDIRECT(_xlfn.CONCAT("'Order Tracker'!E12:F",Data!$AM$3)),DATE(2025,MATCH(UPPER($Q$10), {"JAN","FEB","MAR","APR","MAY","JUN","JUL","AUG","SEP","OCT","NOV","DEC"}, 0),(DAY($D42))),INDIRECT(_xlfn.CONCAT("'Order Tracker'!Q12:R",Data!$AM$3)))=0,"- -",SUMIF(INDIRECT(_xlfn.CONCAT("'Order Tracker'!E12:F",Data!$AM$3)),DATE(2025,MATCH(UPPER($Q$10), {"JAN","FEB","MAR","APR","MAY","JUN","JUL","AUG","SEP","OCT","NOV","DEC"}, 0),(DAY($D42))),INDIRECT(_xlfn.CONCAT("'Order Tracker'!Q12:R",Data!$AM$3))))</f>
        <v>- -</v>
      </c>
      <c r="R42" s="160" t="str">
        <f ca="1">IF(SUMIF(INDIRECT(_xlfn.CONCAT("'Order Tracker'!E12:F",Data!$AM$3)),DATE(2025,MATCH(UPPER($Q$10), {"JAN","FEB","MAR","APR","MAY","JUN","JUL","AUG","SEP","OCT","NOV","DEC"}, 0),(DAY($D42))),INDIRECT(_xlfn.CONCAT("'Order Tracker'!S12:T",Data!$AM$3)))=0,"- -",SUMIF(INDIRECT(_xlfn.CONCAT("'Order Tracker'!E12:F",Data!$AM$3)),DATE(2025,MATCH(UPPER($Q$10), {"JAN","FEB","MAR","APR","MAY","JUN","JUL","AUG","SEP","OCT","NOV","DEC"}, 0),(DAY($D42))),INDIRECT(_xlfn.CONCAT("'Order Tracker'!S12:T",Data!$AM$3))))</f>
        <v>- -</v>
      </c>
      <c r="S42" s="156">
        <f t="shared" ca="1" si="3"/>
        <v>0</v>
      </c>
      <c r="T42" s="10"/>
      <c r="U42" s="160" t="str">
        <f ca="1">IF(SUMIF(INDIRECT(_xlfn.CONCAT("'Order Tracker'!E12:F",Data!$AM$3)),DATE(2025,MATCH(UPPER($U$10), {"JAN","FEB","MAR","APR","MAY","JUN","JUL","AUG","SEP","OCT","NOV","DEC"}, 0),(DAY($D42))),INDIRECT(_xlfn.CONCAT("'Order Tracker'!Q12:R",Data!$AM$3)))=0,"- -",SUMIF(INDIRECT(_xlfn.CONCAT("'Order Tracker'!E12:F",Data!$AM$3)),DATE(2025,MATCH(UPPER($U$10), {"JAN","FEB","MAR","APR","MAY","JUN","JUL","AUG","SEP","OCT","NOV","DEC"}, 0),(DAY($D42))),INDIRECT(_xlfn.CONCAT("'Order Tracker'!Q12:R",Data!$AM$3))))</f>
        <v>- -</v>
      </c>
      <c r="V42" s="160" t="str">
        <f ca="1">IF(SUMIF(INDIRECT(_xlfn.CONCAT("'Order Tracker'!E12:F",Data!$AM$3)),DATE(2025,MATCH(UPPER($U$10), {"JAN","FEB","MAR","APR","MAY","JUN","JUL","AUG","SEP","OCT","NOV","DEC"}, 0),(DAY($D42))),INDIRECT(_xlfn.CONCAT("'Order Tracker'!S12:T",Data!$AM$3)))=0,"- -",SUMIF(INDIRECT(_xlfn.CONCAT("'Order Tracker'!E12:F",Data!$AM$3)),DATE(2025,MATCH(UPPER($U$10), {"JAN","FEB","MAR","APR","MAY","JUN","JUL","AUG","SEP","OCT","NOV","DEC"}, 0),(DAY($D42))),INDIRECT(_xlfn.CONCAT("'Order Tracker'!S12:T",Data!$AM$3))))</f>
        <v>- -</v>
      </c>
      <c r="W42" s="156">
        <f t="shared" ca="1" si="4"/>
        <v>0</v>
      </c>
      <c r="X42" s="10"/>
      <c r="Y42" s="160" t="str">
        <f ca="1">IF(SUMIF(INDIRECT(_xlfn.CONCAT("'Order Tracker'!E12:F",Data!$AM$3)),DATE(2025,MATCH(UPPER($Y$10), {"JAN","FEB","MAR","APR","MAY","JUN","JUL","AUG","SEP","OCT","NOV","DEC"}, 0),(DAY($D42))),INDIRECT(_xlfn.CONCAT("'Order Tracker'!Q12:R",Data!$AM$3)))=0,"- -",SUMIF(INDIRECT(_xlfn.CONCAT("'Order Tracker'!E12:F",Data!$AM$3)),DATE(2025,MATCH(UPPER($Y$10), {"JAN","FEB","MAR","APR","MAY","JUN","JUL","AUG","SEP","OCT","NOV","DEC"}, 0),(DAY($D42))),INDIRECT(_xlfn.CONCAT("'Order Tracker'!Q12:R",Data!$AM$3))))</f>
        <v>- -</v>
      </c>
      <c r="Z42" s="160" t="str">
        <f ca="1">IF(SUMIF(INDIRECT(_xlfn.CONCAT("'Order Tracker'!E12:F",Data!$AM$3)),DATE(2025,MATCH(UPPER($Y$10), {"JAN","FEB","MAR","APR","MAY","JUN","JUL","AUG","SEP","OCT","NOV","DEC"}, 0),(DAY($D42))),INDIRECT(_xlfn.CONCAT("'Order Tracker'!S12:T",Data!$AM$3)))=0,"- -",SUMIF(INDIRECT(_xlfn.CONCAT("'Order Tracker'!E12:F",Data!$AM$3)),DATE(2025,MATCH(UPPER($Y$10), {"JAN","FEB","MAR","APR","MAY","JUN","JUL","AUG","SEP","OCT","NOV","DEC"}, 0),(DAY($D42))),INDIRECT(_xlfn.CONCAT("'Order Tracker'!S12:T",Data!$AM$3))))</f>
        <v>- -</v>
      </c>
      <c r="AA42" s="156">
        <f t="shared" ca="1" si="5"/>
        <v>0</v>
      </c>
      <c r="AB42" s="10"/>
      <c r="AC42" s="160" t="str">
        <f ca="1">IF(SUMIF(INDIRECT(_xlfn.CONCAT("'Order Tracker'!E12:F",Data!$AM$3)),DATE(2025,MATCH(UPPER($AC$10), {"JAN","FEB","MAR","APR","MAY","JUN","JUL","AUG","SEP","OCT","NOV","DEC"}, 0),(DAY($D42))),INDIRECT(_xlfn.CONCAT("'Order Tracker'!Q12:R",Data!$AM$3)))=0,"- -",SUMIF(INDIRECT(_xlfn.CONCAT("'Order Tracker'!E12:F",Data!$AM$3)),DATE(2025,MATCH(UPPER($AC$10), {"JAN","FEB","MAR","APR","MAY","JUN","JUL","AUG","SEP","OCT","NOV","DEC"}, 0),(DAY($D42))),INDIRECT(_xlfn.CONCAT("'Order Tracker'!Q12:R",Data!$AM$3))))</f>
        <v>- -</v>
      </c>
      <c r="AD42" s="160" t="str">
        <f ca="1">IF(SUMIF(INDIRECT(_xlfn.CONCAT("'Order Tracker'!E12:F",Data!$AM$3)),DATE(2025,MATCH(UPPER($AC$10), {"JAN","FEB","MAR","APR","MAY","JUN","JUL","AUG","SEP","OCT","NOV","DEC"}, 0),(DAY($D42))),INDIRECT(_xlfn.CONCAT("'Order Tracker'!S12:T",Data!$AM$3)))=0,"- -",SUMIF(INDIRECT(_xlfn.CONCAT("'Order Tracker'!E12:F",Data!$AM$3)),DATE(2025,MATCH(UPPER($AC$10), {"JAN","FEB","MAR","APR","MAY","JUN","JUL","AUG","SEP","OCT","NOV","DEC"}, 0),(DAY($D42))),INDIRECT(_xlfn.CONCAT("'Order Tracker'!S12:T",Data!$AM$3))))</f>
        <v>- -</v>
      </c>
      <c r="AE42" s="156">
        <f t="shared" ca="1" si="6"/>
        <v>0</v>
      </c>
      <c r="AF42" s="10"/>
      <c r="AG42" s="160" t="str">
        <f ca="1">IF(SUMIF(INDIRECT(_xlfn.CONCAT("'Order Tracker'!E12:F",Data!$AM$3)),DATE(2025,MATCH(UPPER($AG$10), {"JAN","FEB","MAR","APR","MAY","JUN","JUL","AUG","SEP","OCT","NOV","DEC"}, 0),(DAY($D42))),INDIRECT(_xlfn.CONCAT("'Order Tracker'!Q12:R",Data!$AM$3)))=0,"- -",SUMIF(INDIRECT(_xlfn.CONCAT("'Order Tracker'!E12:F",Data!$AM$3)),DATE(2025,MATCH(UPPER($AG$10), {"JAN","FEB","MAR","APR","MAY","JUN","JUL","AUG","SEP","OCT","NOV","DEC"}, 0),(DAY($D42))),INDIRECT(_xlfn.CONCAT("'Order Tracker'!Q12:R",Data!$AM$3))))</f>
        <v>- -</v>
      </c>
      <c r="AH42" s="160" t="str">
        <f ca="1">IF(SUMIF(INDIRECT(_xlfn.CONCAT("'Order Tracker'!E12:F",Data!$AM$3)),DATE(2025,MATCH(UPPER($AG$10), {"JAN","FEB","MAR","APR","MAY","JUN","JUL","AUG","SEP","OCT","NOV","DEC"}, 0),(DAY($D42))),INDIRECT(_xlfn.CONCAT("'Order Tracker'!S12:T",Data!$AM$3)))=0,"- -",SUMIF(INDIRECT(_xlfn.CONCAT("'Order Tracker'!E12:F",Data!$AM$3)),DATE(2025,MATCH(UPPER($AG$10), {"JAN","FEB","MAR","APR","MAY","JUN","JUL","AUG","SEP","OCT","NOV","DEC"}, 0),(DAY($D42))),INDIRECT(_xlfn.CONCAT("'Order Tracker'!S12:T",Data!$AM$3))))</f>
        <v>- -</v>
      </c>
      <c r="AI42" s="156">
        <f t="shared" ca="1" si="7"/>
        <v>0</v>
      </c>
      <c r="AJ42" s="10"/>
      <c r="AK42" s="160" t="str">
        <f ca="1">IF(SUMIF(INDIRECT(_xlfn.CONCAT("'Order Tracker'!E12:F",Data!$AM$3)),DATE(2025,MATCH(UPPER($AK$10), {"JAN","FEB","MAR","APR","MAY","JUN","JUL","AUG","SEP","OCT","NOV","DEC"}, 0),(DAY($D42))),INDIRECT(_xlfn.CONCAT("'Order Tracker'!Q12:R",Data!$AM$3)))=0,"- -",SUMIF(INDIRECT(_xlfn.CONCAT("'Order Tracker'!E12:F",Data!$AM$3)),DATE(2025,MATCH(UPPER($AK$10), {"JAN","FEB","MAR","APR","MAY","JUN","JUL","AUG","SEP","OCT","NOV","DEC"}, 0),(DAY($D42))),INDIRECT(_xlfn.CONCAT("'Order Tracker'!Q12:R",Data!$AM$3))))</f>
        <v>- -</v>
      </c>
      <c r="AL42" s="160" t="str">
        <f ca="1">IF(SUMIF(INDIRECT(_xlfn.CONCAT("'Order Tracker'!E12:F",Data!$AM$3)),DATE(2025,MATCH(UPPER($AK$10), {"JAN","FEB","MAR","APR","MAY","JUN","JUL","AUG","SEP","OCT","NOV","DEC"}, 0),(DAY($D42))),INDIRECT(_xlfn.CONCAT("'Order Tracker'!S12:T",Data!$AM$3)))=0,"- -",SUMIF(INDIRECT(_xlfn.CONCAT("'Order Tracker'!E12:F",Data!$AM$3)),DATE(2025,MATCH(UPPER($AK$10), {"JAN","FEB","MAR","APR","MAY","JUN","JUL","AUG","SEP","OCT","NOV","DEC"}, 0),(DAY($D42))),INDIRECT(_xlfn.CONCAT("'Order Tracker'!S12:T",Data!$AM$3))))</f>
        <v>- -</v>
      </c>
      <c r="AM42" s="156">
        <f t="shared" ca="1" si="8"/>
        <v>0</v>
      </c>
      <c r="AN42" s="10"/>
      <c r="AO42" s="160" t="str">
        <f ca="1">IF(SUMIF(INDIRECT(_xlfn.CONCAT("'Order Tracker'!E12:F",Data!$AM$3)),DATE(2025,MATCH(UPPER($AO$10), {"JAN","FEB","MAR","APR","MAY","JUN","JUL","AUG","SEP","OCT","NOV","DEC"}, 0),(DAY($D42))),INDIRECT(_xlfn.CONCAT("'Order Tracker'!Q12:R",Data!$AM$3)))=0,"- -",SUMIF(INDIRECT(_xlfn.CONCAT("'Order Tracker'!E12:F",Data!$AM$3)),DATE(2025,MATCH(UPPER($AO$10), {"JAN","FEB","MAR","APR","MAY","JUN","JUL","AUG","SEP","OCT","NOV","DEC"}, 0),(DAY($D42))),INDIRECT(_xlfn.CONCAT("'Order Tracker'!Q12:R",Data!$AM$3))))</f>
        <v>- -</v>
      </c>
      <c r="AP42" s="160" t="str">
        <f ca="1">IF(SUMIF(INDIRECT(_xlfn.CONCAT("'Order Tracker'!E12:F",Data!$AM$3)),DATE(2025,MATCH(UPPER($AO$10), {"JAN","FEB","MAR","APR","MAY","JUN","JUL","AUG","SEP","OCT","NOV","DEC"}, 0),(DAY($D42))),INDIRECT(_xlfn.CONCAT("'Order Tracker'!S12:T",Data!$AM$3)))=0,"- -",SUMIF(INDIRECT(_xlfn.CONCAT("'Order Tracker'!E12:F",Data!$AM$3)),DATE(2025,MATCH(UPPER($AO$10), {"JAN","FEB","MAR","APR","MAY","JUN","JUL","AUG","SEP","OCT","NOV","DEC"}, 0),(DAY($D42))),INDIRECT(_xlfn.CONCAT("'Order Tracker'!S12:T",Data!$AM$3))))</f>
        <v>- -</v>
      </c>
      <c r="AQ42" s="156">
        <f t="shared" ca="1" si="9"/>
        <v>0</v>
      </c>
      <c r="AR42" s="10"/>
      <c r="AS42" s="160" t="str">
        <f ca="1">IF(SUMIF(INDIRECT(_xlfn.CONCAT("'Order Tracker'!E12:F",Data!$AM$3)),DATE(2025,MATCH(UPPER($AS$10), {"JAN","FEB","MAR","APR","MAY","JUN","JUL","AUG","SEP","OCT","NOV","DEC"}, 0),(DAY($D42))),INDIRECT(_xlfn.CONCAT("'Order Tracker'!Q12:R",Data!$AM$3)))=0,"- -",SUMIF(INDIRECT(_xlfn.CONCAT("'Order Tracker'!E12:F",Data!$AM$3)),DATE(2025,MATCH(UPPER($AS$10), {"JAN","FEB","MAR","APR","MAY","JUN","JUL","AUG","SEP","OCT","NOV","DEC"}, 0),(DAY($D42))),INDIRECT(_xlfn.CONCAT("'Order Tracker'!Q12:R",Data!$AM$3))))</f>
        <v>- -</v>
      </c>
      <c r="AT42" s="160" t="str">
        <f ca="1">IF(SUMIF(INDIRECT(_xlfn.CONCAT("'Order Tracker'!E12:F",Data!$AM$3)),DATE(2025,MATCH(UPPER($AS$10), {"JAN","FEB","MAR","APR","MAY","JUN","JUL","AUG","SEP","OCT","NOV","DEC"}, 0),(DAY($D42))),INDIRECT(_xlfn.CONCAT("'Order Tracker'!S12:T",Data!$AM$3)))=0,"- -",SUMIF(INDIRECT(_xlfn.CONCAT("'Order Tracker'!E12:F",Data!$AM$3)),DATE(2025,MATCH(UPPER($AS$10), {"JAN","FEB","MAR","APR","MAY","JUN","JUL","AUG","SEP","OCT","NOV","DEC"}, 0),(DAY($D42))),INDIRECT(_xlfn.CONCAT("'Order Tracker'!S12:T",Data!$AM$3))))</f>
        <v>- -</v>
      </c>
      <c r="AU42" s="156">
        <f t="shared" ca="1" si="10"/>
        <v>0</v>
      </c>
      <c r="AV42" s="7"/>
      <c r="AW42" s="160" t="str">
        <f ca="1">IF(SUMIF(INDIRECT(_xlfn.CONCAT("'Order Tracker'!E12:F",Data!$AM$3)),DATE(2025,MATCH(UPPER($AW$10), {"JAN","FEB","MAR","APR","MAY","JUN","JUL","AUG","SEP","OCT","NOV","DEC"}, 0),(DAY($D42))),INDIRECT(_xlfn.CONCAT("'Order Tracker'!Q12:R",Data!$AM$3)))=0,"- -",SUMIF(INDIRECT(_xlfn.CONCAT("'Order Tracker'!E12:F",Data!$AM$3)),DATE(2025,MATCH(UPPER($AW$10), {"JAN","FEB","MAR","APR","MAY","JUN","JUL","AUG","SEP","OCT","NOV","DEC"}, 0),(DAY($D42))),INDIRECT(_xlfn.CONCAT("'Order Tracker'!Q12:R",Data!$AM$3))))</f>
        <v>- -</v>
      </c>
      <c r="AX42" s="160" t="str">
        <f ca="1">IF(SUMIF(INDIRECT(_xlfn.CONCAT("'Order Tracker'!E12:F",Data!$AM$3)),DATE(2025,MATCH(UPPER($AW$10), {"JAN","FEB","MAR","APR","MAY","JUN","JUL","AUG","SEP","OCT","NOV","DEC"}, 0),(DAY($D42))),INDIRECT(_xlfn.CONCAT("'Order Tracker'!S12:T",Data!$AM$3)))=0,"- -",SUMIF(INDIRECT(_xlfn.CONCAT("'Order Tracker'!E12:F",Data!$AM$3)),DATE(2025,MATCH(UPPER($AW$10), {"JAN","FEB","MAR","APR","MAY","JUN","JUL","AUG","SEP","OCT","NOV","DEC"}, 0),(DAY($D42))),INDIRECT(_xlfn.CONCAT("'Order Tracker'!S12:T",Data!$AM$3))))</f>
        <v>- -</v>
      </c>
      <c r="AY42" s="156">
        <f t="shared" ca="1" si="11"/>
        <v>0</v>
      </c>
      <c r="AZ42" s="109"/>
    </row>
    <row r="43" spans="4:52" ht="18" hidden="1" x14ac:dyDescent="0.2">
      <c r="D43" s="151">
        <v>30</v>
      </c>
      <c r="E43" s="160" t="str">
        <f ca="1">IF(SUMIF(INDIRECT(_xlfn.CONCAT("'Order Tracker'!E12:F",Data!$AM$3)),DATE(2025,MATCH(UPPER($E$10), {"JAN","FEB","MAR","APR","MAY","JUN","JUL","AUG","SEP","OCT","NOV","DEC"}, 0),(DAY($D43))),INDIRECT(_xlfn.CONCAT("'Order Tracker'!Q12:R",Data!$AM$3)))=0,"- -",SUMIF(INDIRECT(_xlfn.CONCAT("'Order Tracker'!E12:F",Data!$AM$3)),DATE(2025,MATCH(UPPER($E$10), {"JAN","FEB","MAR","APR","MAY","JUN","JUL","AUG","SEP","OCT","NOV","DEC"}, 0),(DAY($D43))),INDIRECT(_xlfn.CONCAT("'Order Tracker'!Q12:R",Data!$AM$3))))</f>
        <v>- -</v>
      </c>
      <c r="F43" s="160" t="str">
        <f ca="1">IF(SUMIF(INDIRECT(_xlfn.CONCAT("'Order Tracker'!E12:F",Data!$AM$3)),DATE(2025,MATCH(UPPER($E$10), {"JAN","FEB","MAR","APR","MAY","JUN","JUL","AUG","SEP","OCT","NOV","DEC"}, 0),(DAY($D43))),INDIRECT(_xlfn.CONCAT("'Order Tracker'!S12:T",Data!$AM$3)))=0,"- -",SUMIF(INDIRECT(_xlfn.CONCAT("'Order Tracker'!E12:F",Data!$AM$3)),DATE(2025,MATCH(UPPER($E$10), {"JAN","FEB","MAR","APR","MAY","JUN","JUL","AUG","SEP","OCT","NOV","DEC"}, 0),(DAY($D43))),INDIRECT(_xlfn.CONCAT("'Order Tracker'!S12:T",Data!$AM$3))))</f>
        <v>- -</v>
      </c>
      <c r="G43" s="156">
        <f t="shared" ca="1" si="0"/>
        <v>0</v>
      </c>
      <c r="H43" s="10"/>
      <c r="I43" s="160" t="str">
        <f ca="1">IF(SUMIF(INDIRECT(_xlfn.CONCAT("'Order Tracker'!E12:F",Data!$AM$3)),DATE(2025,MATCH(UPPER($I$10), {"JAN","FEB","MAR","APR","MAY","JUN","JUL","AUG","SEP","OCT","NOV","DEC"}, 0),(DAY($D43))),INDIRECT(_xlfn.CONCAT("'Order Tracker'!Q12:R",Data!$AM$3)))=0,"- -",SUMIF(INDIRECT(_xlfn.CONCAT("'Order Tracker'!E12:F",Data!$AM$3)),DATE(2025,MATCH(UPPER($I$10), {"JAN","FEB","MAR","APR","MAY","JUN","JUL","AUG","SEP","OCT","NOV","DEC"}, 0),(DAY($D43))),INDIRECT(_xlfn.CONCAT("'Order Tracker'!Q12:R",Data!$AM$3))))</f>
        <v>- -</v>
      </c>
      <c r="J43" s="160" t="str">
        <f ca="1">IF(SUMIF(INDIRECT(_xlfn.CONCAT("'Order Tracker'!E12:F",Data!$AM$3)),DATE(2025,MATCH(UPPER($I$10), {"JAN","FEB","MAR","APR","MAY","JUN","JUL","AUG","SEP","OCT","NOV","DEC"}, 0),(DAY($D43))),INDIRECT(_xlfn.CONCAT("'Order Tracker'!S12:T",Data!$AM$3)))=0,"- -",SUMIF(INDIRECT(_xlfn.CONCAT("'Order Tracker'!E12:F",Data!$AM$3)),DATE(2025,MATCH(UPPER($I$10), {"JAN","FEB","MAR","APR","MAY","JUN","JUL","AUG","SEP","OCT","NOV","DEC"}, 0),(DAY($D43))),INDIRECT(_xlfn.CONCAT("'Order Tracker'!S12:T",Data!$AM$3))))</f>
        <v>- -</v>
      </c>
      <c r="K43" s="156">
        <f t="shared" ca="1" si="1"/>
        <v>0</v>
      </c>
      <c r="L43" s="10"/>
      <c r="M43" s="160" t="str">
        <f ca="1">IF(SUMIF(INDIRECT(_xlfn.CONCAT("'Order Tracker'!E12:F",Data!$AM$3)),DATE(2025,MATCH(UPPER($M$10), {"JAN","FEB","MAR","APR","MAY","JUN","JUL","AUG","SEP","OCT","NOV","DEC"}, 0),(DAY($D43))),INDIRECT(_xlfn.CONCAT("'Order Tracker'!Q12:R",Data!$AM$3)))=0,"- -",SUMIF(INDIRECT(_xlfn.CONCAT("'Order Tracker'!E12:F",Data!$AM$3)),DATE(2025,MATCH(UPPER($M$10), {"JAN","FEB","MAR","APR","MAY","JUN","JUL","AUG","SEP","OCT","NOV","DEC"}, 0),(DAY($D43))),INDIRECT(_xlfn.CONCAT("'Order Tracker'!Q12:R",Data!$AM$3))))</f>
        <v>- -</v>
      </c>
      <c r="N43" s="160" t="str">
        <f ca="1">IF(SUMIF(INDIRECT(_xlfn.CONCAT("'Order Tracker'!E12:F",Data!$AM$3)),DATE(2025,MATCH(UPPER($M$10), {"JAN","FEB","MAR","APR","MAY","JUN","JUL","AUG","SEP","OCT","NOV","DEC"}, 0),(DAY($D43))),INDIRECT(_xlfn.CONCAT("'Order Tracker'!S12:T",Data!$AM$3)))=0,"- -",SUMIF(INDIRECT(_xlfn.CONCAT("'Order Tracker'!E12:F",Data!$AM$3)),DATE(2025,MATCH(UPPER($M$10), {"JAN","FEB","MAR","APR","MAY","JUN","JUL","AUG","SEP","OCT","NOV","DEC"}, 0),(DAY($D43))),INDIRECT(_xlfn.CONCAT("'Order Tracker'!S12:T",Data!$AM$3))))</f>
        <v>- -</v>
      </c>
      <c r="O43" s="156">
        <f t="shared" ca="1" si="2"/>
        <v>0</v>
      </c>
      <c r="P43" s="10"/>
      <c r="Q43" s="160" t="str">
        <f ca="1">IF(SUMIF(INDIRECT(_xlfn.CONCAT("'Order Tracker'!E12:F",Data!$AM$3)),DATE(2025,MATCH(UPPER($Q$10), {"JAN","FEB","MAR","APR","MAY","JUN","JUL","AUG","SEP","OCT","NOV","DEC"}, 0),(DAY($D43))),INDIRECT(_xlfn.CONCAT("'Order Tracker'!Q12:R",Data!$AM$3)))=0,"- -",SUMIF(INDIRECT(_xlfn.CONCAT("'Order Tracker'!E12:F",Data!$AM$3)),DATE(2025,MATCH(UPPER($Q$10), {"JAN","FEB","MAR","APR","MAY","JUN","JUL","AUG","SEP","OCT","NOV","DEC"}, 0),(DAY($D43))),INDIRECT(_xlfn.CONCAT("'Order Tracker'!Q12:R",Data!$AM$3))))</f>
        <v>- -</v>
      </c>
      <c r="R43" s="160" t="str">
        <f ca="1">IF(SUMIF(INDIRECT(_xlfn.CONCAT("'Order Tracker'!E12:F",Data!$AM$3)),DATE(2025,MATCH(UPPER($Q$10), {"JAN","FEB","MAR","APR","MAY","JUN","JUL","AUG","SEP","OCT","NOV","DEC"}, 0),(DAY($D43))),INDIRECT(_xlfn.CONCAT("'Order Tracker'!S12:T",Data!$AM$3)))=0,"- -",SUMIF(INDIRECT(_xlfn.CONCAT("'Order Tracker'!E12:F",Data!$AM$3)),DATE(2025,MATCH(UPPER($Q$10), {"JAN","FEB","MAR","APR","MAY","JUN","JUL","AUG","SEP","OCT","NOV","DEC"}, 0),(DAY($D43))),INDIRECT(_xlfn.CONCAT("'Order Tracker'!S12:T",Data!$AM$3))))</f>
        <v>- -</v>
      </c>
      <c r="S43" s="156">
        <f t="shared" ca="1" si="3"/>
        <v>0</v>
      </c>
      <c r="T43" s="10"/>
      <c r="U43" s="160" t="str">
        <f ca="1">IF(SUMIF(INDIRECT(_xlfn.CONCAT("'Order Tracker'!E12:F",Data!$AM$3)),DATE(2025,MATCH(UPPER($U$10), {"JAN","FEB","MAR","APR","MAY","JUN","JUL","AUG","SEP","OCT","NOV","DEC"}, 0),(DAY($D43))),INDIRECT(_xlfn.CONCAT("'Order Tracker'!Q12:R",Data!$AM$3)))=0,"- -",SUMIF(INDIRECT(_xlfn.CONCAT("'Order Tracker'!E12:F",Data!$AM$3)),DATE(2025,MATCH(UPPER($U$10), {"JAN","FEB","MAR","APR","MAY","JUN","JUL","AUG","SEP","OCT","NOV","DEC"}, 0),(DAY($D43))),INDIRECT(_xlfn.CONCAT("'Order Tracker'!Q12:R",Data!$AM$3))))</f>
        <v>- -</v>
      </c>
      <c r="V43" s="160" t="str">
        <f ca="1">IF(SUMIF(INDIRECT(_xlfn.CONCAT("'Order Tracker'!E12:F",Data!$AM$3)),DATE(2025,MATCH(UPPER($U$10), {"JAN","FEB","MAR","APR","MAY","JUN","JUL","AUG","SEP","OCT","NOV","DEC"}, 0),(DAY($D43))),INDIRECT(_xlfn.CONCAT("'Order Tracker'!S12:T",Data!$AM$3)))=0,"- -",SUMIF(INDIRECT(_xlfn.CONCAT("'Order Tracker'!E12:F",Data!$AM$3)),DATE(2025,MATCH(UPPER($U$10), {"JAN","FEB","MAR","APR","MAY","JUN","JUL","AUG","SEP","OCT","NOV","DEC"}, 0),(DAY($D43))),INDIRECT(_xlfn.CONCAT("'Order Tracker'!S12:T",Data!$AM$3))))</f>
        <v>- -</v>
      </c>
      <c r="W43" s="156">
        <f t="shared" ca="1" si="4"/>
        <v>0</v>
      </c>
      <c r="X43" s="10"/>
      <c r="Y43" s="160" t="str">
        <f ca="1">IF(SUMIF(INDIRECT(_xlfn.CONCAT("'Order Tracker'!E12:F",Data!$AM$3)),DATE(2025,MATCH(UPPER($Y$10), {"JAN","FEB","MAR","APR","MAY","JUN","JUL","AUG","SEP","OCT","NOV","DEC"}, 0),(DAY($D43))),INDIRECT(_xlfn.CONCAT("'Order Tracker'!Q12:R",Data!$AM$3)))=0,"- -",SUMIF(INDIRECT(_xlfn.CONCAT("'Order Tracker'!E12:F",Data!$AM$3)),DATE(2025,MATCH(UPPER($Y$10), {"JAN","FEB","MAR","APR","MAY","JUN","JUL","AUG","SEP","OCT","NOV","DEC"}, 0),(DAY($D43))),INDIRECT(_xlfn.CONCAT("'Order Tracker'!Q12:R",Data!$AM$3))))</f>
        <v>- -</v>
      </c>
      <c r="Z43" s="160" t="str">
        <f ca="1">IF(SUMIF(INDIRECT(_xlfn.CONCAT("'Order Tracker'!E12:F",Data!$AM$3)),DATE(2025,MATCH(UPPER($Y$10), {"JAN","FEB","MAR","APR","MAY","JUN","JUL","AUG","SEP","OCT","NOV","DEC"}, 0),(DAY($D43))),INDIRECT(_xlfn.CONCAT("'Order Tracker'!S12:T",Data!$AM$3)))=0,"- -",SUMIF(INDIRECT(_xlfn.CONCAT("'Order Tracker'!E12:F",Data!$AM$3)),DATE(2025,MATCH(UPPER($Y$10), {"JAN","FEB","MAR","APR","MAY","JUN","JUL","AUG","SEP","OCT","NOV","DEC"}, 0),(DAY($D43))),INDIRECT(_xlfn.CONCAT("'Order Tracker'!S12:T",Data!$AM$3))))</f>
        <v>- -</v>
      </c>
      <c r="AA43" s="156">
        <f t="shared" ca="1" si="5"/>
        <v>0</v>
      </c>
      <c r="AB43" s="10"/>
      <c r="AC43" s="160" t="str">
        <f ca="1">IF(SUMIF(INDIRECT(_xlfn.CONCAT("'Order Tracker'!E12:F",Data!$AM$3)),DATE(2025,MATCH(UPPER($AC$10), {"JAN","FEB","MAR","APR","MAY","JUN","JUL","AUG","SEP","OCT","NOV","DEC"}, 0),(DAY($D43))),INDIRECT(_xlfn.CONCAT("'Order Tracker'!Q12:R",Data!$AM$3)))=0,"- -",SUMIF(INDIRECT(_xlfn.CONCAT("'Order Tracker'!E12:F",Data!$AM$3)),DATE(2025,MATCH(UPPER($AC$10), {"JAN","FEB","MAR","APR","MAY","JUN","JUL","AUG","SEP","OCT","NOV","DEC"}, 0),(DAY($D43))),INDIRECT(_xlfn.CONCAT("'Order Tracker'!Q12:R",Data!$AM$3))))</f>
        <v>- -</v>
      </c>
      <c r="AD43" s="160" t="str">
        <f ca="1">IF(SUMIF(INDIRECT(_xlfn.CONCAT("'Order Tracker'!E12:F",Data!$AM$3)),DATE(2025,MATCH(UPPER($AC$10), {"JAN","FEB","MAR","APR","MAY","JUN","JUL","AUG","SEP","OCT","NOV","DEC"}, 0),(DAY($D43))),INDIRECT(_xlfn.CONCAT("'Order Tracker'!S12:T",Data!$AM$3)))=0,"- -",SUMIF(INDIRECT(_xlfn.CONCAT("'Order Tracker'!E12:F",Data!$AM$3)),DATE(2025,MATCH(UPPER($AC$10), {"JAN","FEB","MAR","APR","MAY","JUN","JUL","AUG","SEP","OCT","NOV","DEC"}, 0),(DAY($D43))),INDIRECT(_xlfn.CONCAT("'Order Tracker'!S12:T",Data!$AM$3))))</f>
        <v>- -</v>
      </c>
      <c r="AE43" s="156">
        <f t="shared" ca="1" si="6"/>
        <v>0</v>
      </c>
      <c r="AF43" s="10"/>
      <c r="AG43" s="160" t="str">
        <f ca="1">IF(SUMIF(INDIRECT(_xlfn.CONCAT("'Order Tracker'!E12:F",Data!$AM$3)),DATE(2025,MATCH(UPPER($AG$10), {"JAN","FEB","MAR","APR","MAY","JUN","JUL","AUG","SEP","OCT","NOV","DEC"}, 0),(DAY($D43))),INDIRECT(_xlfn.CONCAT("'Order Tracker'!Q12:R",Data!$AM$3)))=0,"- -",SUMIF(INDIRECT(_xlfn.CONCAT("'Order Tracker'!E12:F",Data!$AM$3)),DATE(2025,MATCH(UPPER($AG$10), {"JAN","FEB","MAR","APR","MAY","JUN","JUL","AUG","SEP","OCT","NOV","DEC"}, 0),(DAY($D43))),INDIRECT(_xlfn.CONCAT("'Order Tracker'!Q12:R",Data!$AM$3))))</f>
        <v>- -</v>
      </c>
      <c r="AH43" s="160" t="str">
        <f ca="1">IF(SUMIF(INDIRECT(_xlfn.CONCAT("'Order Tracker'!E12:F",Data!$AM$3)),DATE(2025,MATCH(UPPER($AG$10), {"JAN","FEB","MAR","APR","MAY","JUN","JUL","AUG","SEP","OCT","NOV","DEC"}, 0),(DAY($D43))),INDIRECT(_xlfn.CONCAT("'Order Tracker'!S12:T",Data!$AM$3)))=0,"- -",SUMIF(INDIRECT(_xlfn.CONCAT("'Order Tracker'!E12:F",Data!$AM$3)),DATE(2025,MATCH(UPPER($AG$10), {"JAN","FEB","MAR","APR","MAY","JUN","JUL","AUG","SEP","OCT","NOV","DEC"}, 0),(DAY($D43))),INDIRECT(_xlfn.CONCAT("'Order Tracker'!S12:T",Data!$AM$3))))</f>
        <v>- -</v>
      </c>
      <c r="AI43" s="156">
        <f t="shared" ca="1" si="7"/>
        <v>0</v>
      </c>
      <c r="AJ43" s="10"/>
      <c r="AK43" s="160" t="str">
        <f ca="1">IF(SUMIF(INDIRECT(_xlfn.CONCAT("'Order Tracker'!E12:F",Data!$AM$3)),DATE(2025,MATCH(UPPER($AK$10), {"JAN","FEB","MAR","APR","MAY","JUN","JUL","AUG","SEP","OCT","NOV","DEC"}, 0),(DAY($D43))),INDIRECT(_xlfn.CONCAT("'Order Tracker'!Q12:R",Data!$AM$3)))=0,"- -",SUMIF(INDIRECT(_xlfn.CONCAT("'Order Tracker'!E12:F",Data!$AM$3)),DATE(2025,MATCH(UPPER($AK$10), {"JAN","FEB","MAR","APR","MAY","JUN","JUL","AUG","SEP","OCT","NOV","DEC"}, 0),(DAY($D43))),INDIRECT(_xlfn.CONCAT("'Order Tracker'!Q12:R",Data!$AM$3))))</f>
        <v>- -</v>
      </c>
      <c r="AL43" s="160" t="str">
        <f ca="1">IF(SUMIF(INDIRECT(_xlfn.CONCAT("'Order Tracker'!E12:F",Data!$AM$3)),DATE(2025,MATCH(UPPER($AK$10), {"JAN","FEB","MAR","APR","MAY","JUN","JUL","AUG","SEP","OCT","NOV","DEC"}, 0),(DAY($D43))),INDIRECT(_xlfn.CONCAT("'Order Tracker'!S12:T",Data!$AM$3)))=0,"- -",SUMIF(INDIRECT(_xlfn.CONCAT("'Order Tracker'!E12:F",Data!$AM$3)),DATE(2025,MATCH(UPPER($AK$10), {"JAN","FEB","MAR","APR","MAY","JUN","JUL","AUG","SEP","OCT","NOV","DEC"}, 0),(DAY($D43))),INDIRECT(_xlfn.CONCAT("'Order Tracker'!S12:T",Data!$AM$3))))</f>
        <v>- -</v>
      </c>
      <c r="AM43" s="156">
        <f t="shared" ca="1" si="8"/>
        <v>0</v>
      </c>
      <c r="AN43" s="10"/>
      <c r="AO43" s="160" t="str">
        <f ca="1">IF(SUMIF(INDIRECT(_xlfn.CONCAT("'Order Tracker'!E12:F",Data!$AM$3)),DATE(2025,MATCH(UPPER($AO$10), {"JAN","FEB","MAR","APR","MAY","JUN","JUL","AUG","SEP","OCT","NOV","DEC"}, 0),(DAY($D43))),INDIRECT(_xlfn.CONCAT("'Order Tracker'!Q12:R",Data!$AM$3)))=0,"- -",SUMIF(INDIRECT(_xlfn.CONCAT("'Order Tracker'!E12:F",Data!$AM$3)),DATE(2025,MATCH(UPPER($AO$10), {"JAN","FEB","MAR","APR","MAY","JUN","JUL","AUG","SEP","OCT","NOV","DEC"}, 0),(DAY($D43))),INDIRECT(_xlfn.CONCAT("'Order Tracker'!Q12:R",Data!$AM$3))))</f>
        <v>- -</v>
      </c>
      <c r="AP43" s="160" t="str">
        <f ca="1">IF(SUMIF(INDIRECT(_xlfn.CONCAT("'Order Tracker'!E12:F",Data!$AM$3)),DATE(2025,MATCH(UPPER($AO$10), {"JAN","FEB","MAR","APR","MAY","JUN","JUL","AUG","SEP","OCT","NOV","DEC"}, 0),(DAY($D43))),INDIRECT(_xlfn.CONCAT("'Order Tracker'!S12:T",Data!$AM$3)))=0,"- -",SUMIF(INDIRECT(_xlfn.CONCAT("'Order Tracker'!E12:F",Data!$AM$3)),DATE(2025,MATCH(UPPER($AO$10), {"JAN","FEB","MAR","APR","MAY","JUN","JUL","AUG","SEP","OCT","NOV","DEC"}, 0),(DAY($D43))),INDIRECT(_xlfn.CONCAT("'Order Tracker'!S12:T",Data!$AM$3))))</f>
        <v>- -</v>
      </c>
      <c r="AQ43" s="156">
        <f t="shared" ca="1" si="9"/>
        <v>0</v>
      </c>
      <c r="AR43" s="10"/>
      <c r="AS43" s="160" t="str">
        <f ca="1">IF(SUMIF(INDIRECT(_xlfn.CONCAT("'Order Tracker'!E12:F",Data!$AM$3)),DATE(2025,MATCH(UPPER($AS$10), {"JAN","FEB","MAR","APR","MAY","JUN","JUL","AUG","SEP","OCT","NOV","DEC"}, 0),(DAY($D43))),INDIRECT(_xlfn.CONCAT("'Order Tracker'!Q12:R",Data!$AM$3)))=0,"- -",SUMIF(INDIRECT(_xlfn.CONCAT("'Order Tracker'!E12:F",Data!$AM$3)),DATE(2025,MATCH(UPPER($AS$10), {"JAN","FEB","MAR","APR","MAY","JUN","JUL","AUG","SEP","OCT","NOV","DEC"}, 0),(DAY($D43))),INDIRECT(_xlfn.CONCAT("'Order Tracker'!Q12:R",Data!$AM$3))))</f>
        <v>- -</v>
      </c>
      <c r="AT43" s="160" t="str">
        <f ca="1">IF(SUMIF(INDIRECT(_xlfn.CONCAT("'Order Tracker'!E12:F",Data!$AM$3)),DATE(2025,MATCH(UPPER($AS$10), {"JAN","FEB","MAR","APR","MAY","JUN","JUL","AUG","SEP","OCT","NOV","DEC"}, 0),(DAY($D43))),INDIRECT(_xlfn.CONCAT("'Order Tracker'!S12:T",Data!$AM$3)))=0,"- -",SUMIF(INDIRECT(_xlfn.CONCAT("'Order Tracker'!E12:F",Data!$AM$3)),DATE(2025,MATCH(UPPER($AS$10), {"JAN","FEB","MAR","APR","MAY","JUN","JUL","AUG","SEP","OCT","NOV","DEC"}, 0),(DAY($D43))),INDIRECT(_xlfn.CONCAT("'Order Tracker'!S12:T",Data!$AM$3))))</f>
        <v>- -</v>
      </c>
      <c r="AU43" s="156">
        <f t="shared" ca="1" si="10"/>
        <v>0</v>
      </c>
      <c r="AV43" s="7"/>
      <c r="AW43" s="160" t="str">
        <f ca="1">IF(SUMIF(INDIRECT(_xlfn.CONCAT("'Order Tracker'!E12:F",Data!$AM$3)),DATE(2025,MATCH(UPPER($AW$10), {"JAN","FEB","MAR","APR","MAY","JUN","JUL","AUG","SEP","OCT","NOV","DEC"}, 0),(DAY($D43))),INDIRECT(_xlfn.CONCAT("'Order Tracker'!Q12:R",Data!$AM$3)))=0,"- -",SUMIF(INDIRECT(_xlfn.CONCAT("'Order Tracker'!E12:F",Data!$AM$3)),DATE(2025,MATCH(UPPER($AW$10), {"JAN","FEB","MAR","APR","MAY","JUN","JUL","AUG","SEP","OCT","NOV","DEC"}, 0),(DAY($D43))),INDIRECT(_xlfn.CONCAT("'Order Tracker'!Q12:R",Data!$AM$3))))</f>
        <v>- -</v>
      </c>
      <c r="AX43" s="160" t="str">
        <f ca="1">IF(SUMIF(INDIRECT(_xlfn.CONCAT("'Order Tracker'!E12:F",Data!$AM$3)),DATE(2025,MATCH(UPPER($AW$10), {"JAN","FEB","MAR","APR","MAY","JUN","JUL","AUG","SEP","OCT","NOV","DEC"}, 0),(DAY($D43))),INDIRECT(_xlfn.CONCAT("'Order Tracker'!S12:T",Data!$AM$3)))=0,"- -",SUMIF(INDIRECT(_xlfn.CONCAT("'Order Tracker'!E12:F",Data!$AM$3)),DATE(2025,MATCH(UPPER($AW$10), {"JAN","FEB","MAR","APR","MAY","JUN","JUL","AUG","SEP","OCT","NOV","DEC"}, 0),(DAY($D43))),INDIRECT(_xlfn.CONCAT("'Order Tracker'!S12:T",Data!$AM$3))))</f>
        <v>- -</v>
      </c>
      <c r="AY43" s="156">
        <f t="shared" ca="1" si="11"/>
        <v>0</v>
      </c>
      <c r="AZ43" s="109"/>
    </row>
    <row r="44" spans="4:52" ht="19" hidden="1" thickBot="1" x14ac:dyDescent="0.25">
      <c r="D44" s="152">
        <v>31</v>
      </c>
      <c r="E44" s="161" t="str">
        <f ca="1">IF(SUMIF(INDIRECT(_xlfn.CONCAT("'Order Tracker'!E12:F",Data!$AM$3)),DATE(2025,MATCH(UPPER($E$10), {"JAN","FEB","MAR","APR","MAY","JUN","JUL","AUG","SEP","OCT","NOV","DEC"}, 0),(DAY($D44))),INDIRECT(_xlfn.CONCAT("'Order Tracker'!Q12:R",Data!$AM$3)))=0,"- -",SUMIF(INDIRECT(_xlfn.CONCAT("'Order Tracker'!E12:F",Data!$AM$3)),DATE(2025,MATCH(UPPER($E$10), {"JAN","FEB","MAR","APR","MAY","JUN","JUL","AUG","SEP","OCT","NOV","DEC"}, 0),(DAY($D44))),INDIRECT(_xlfn.CONCAT("'Order Tracker'!Q12:R",Data!$AM$3))))</f>
        <v>- -</v>
      </c>
      <c r="F44" s="161" t="str">
        <f ca="1">IF(SUMIF(INDIRECT(_xlfn.CONCAT("'Order Tracker'!E12:F",Data!$AM$3)),DATE(2025,MATCH(UPPER($E$10), {"JAN","FEB","MAR","APR","MAY","JUN","JUL","AUG","SEP","OCT","NOV","DEC"}, 0),(DAY($D44))),INDIRECT(_xlfn.CONCAT("'Order Tracker'!S12:T",Data!$AM$3)))=0,"- -",SUMIF(INDIRECT(_xlfn.CONCAT("'Order Tracker'!E12:F",Data!$AM$3)),DATE(2025,MATCH(UPPER($E$10), {"JAN","FEB","MAR","APR","MAY","JUN","JUL","AUG","SEP","OCT","NOV","DEC"}, 0),(DAY($D44))),INDIRECT(_xlfn.CONCAT("'Order Tracker'!S12:T",Data!$AM$3))))</f>
        <v>- -</v>
      </c>
      <c r="G44" s="156">
        <f t="shared" ca="1" si="0"/>
        <v>0</v>
      </c>
      <c r="H44" s="3"/>
      <c r="I44" s="161" t="str">
        <f ca="1">IF(SUMIF(INDIRECT(_xlfn.CONCAT("'Order Tracker'!E12:F",Data!$AM$3)),DATE(2025,MATCH(UPPER($I$10), {"JAN","FEB","MAR","APR","MAY","JUN","JUL","AUG","SEP","OCT","NOV","DEC"}, 0),(DAY($D44))),INDIRECT(_xlfn.CONCAT("'Order Tracker'!Q12:R",Data!$AM$3)))=0,"- -",SUMIF(INDIRECT(_xlfn.CONCAT("'Order Tracker'!E12:F",Data!$AM$3)),DATE(2025,MATCH(UPPER($I$10), {"JAN","FEB","MAR","APR","MAY","JUN","JUL","AUG","SEP","OCT","NOV","DEC"}, 0),(DAY($D44))),INDIRECT(_xlfn.CONCAT("'Order Tracker'!Q12:R",Data!$AM$3))))</f>
        <v>- -</v>
      </c>
      <c r="J44" s="161" t="str">
        <f ca="1">IF(SUMIF(INDIRECT(_xlfn.CONCAT("'Order Tracker'!E12:F",Data!$AM$3)),DATE(2025,MATCH(UPPER($I$10), {"JAN","FEB","MAR","APR","MAY","JUN","JUL","AUG","SEP","OCT","NOV","DEC"}, 0),(DAY($D44))),INDIRECT(_xlfn.CONCAT("'Order Tracker'!S12:T",Data!$AM$3)))=0,"- -",SUMIF(INDIRECT(_xlfn.CONCAT("'Order Tracker'!E12:F",Data!$AM$3)),DATE(2025,MATCH(UPPER($I$10), {"JAN","FEB","MAR","APR","MAY","JUN","JUL","AUG","SEP","OCT","NOV","DEC"}, 0),(DAY($D44))),INDIRECT(_xlfn.CONCAT("'Order Tracker'!S12:T",Data!$AM$3))))</f>
        <v>- -</v>
      </c>
      <c r="K44" s="156">
        <f t="shared" ca="1" si="1"/>
        <v>0</v>
      </c>
      <c r="L44" s="3"/>
      <c r="M44" s="161" t="str">
        <f ca="1">IF(SUMIF(INDIRECT(_xlfn.CONCAT("'Order Tracker'!E12:F",Data!$AM$3)),DATE(2025,MATCH(UPPER($M$10), {"JAN","FEB","MAR","APR","MAY","JUN","JUL","AUG","SEP","OCT","NOV","DEC"}, 0),(DAY($D44))),INDIRECT(_xlfn.CONCAT("'Order Tracker'!Q12:R",Data!$AM$3)))=0,"- -",SUMIF(INDIRECT(_xlfn.CONCAT("'Order Tracker'!E12:F",Data!$AM$3)),DATE(2025,MATCH(UPPER($M$10), {"JAN","FEB","MAR","APR","MAY","JUN","JUL","AUG","SEP","OCT","NOV","DEC"}, 0),(DAY($D44))),INDIRECT(_xlfn.CONCAT("'Order Tracker'!Q12:R",Data!$AM$3))))</f>
        <v>- -</v>
      </c>
      <c r="N44" s="161" t="str">
        <f ca="1">IF(SUMIF(INDIRECT(_xlfn.CONCAT("'Order Tracker'!E12:F",Data!$AM$3)),DATE(2025,MATCH(UPPER($M$10), {"JAN","FEB","MAR","APR","MAY","JUN","JUL","AUG","SEP","OCT","NOV","DEC"}, 0),(DAY($D44))),INDIRECT(_xlfn.CONCAT("'Order Tracker'!S12:T",Data!$AM$3)))=0,"- -",SUMIF(INDIRECT(_xlfn.CONCAT("'Order Tracker'!E12:F",Data!$AM$3)),DATE(2025,MATCH(UPPER($M$10), {"JAN","FEB","MAR","APR","MAY","JUN","JUL","AUG","SEP","OCT","NOV","DEC"}, 0),(DAY($D44))),INDIRECT(_xlfn.CONCAT("'Order Tracker'!S12:T",Data!$AM$3))))</f>
        <v>- -</v>
      </c>
      <c r="O44" s="156">
        <f t="shared" ca="1" si="2"/>
        <v>0</v>
      </c>
      <c r="P44" s="3"/>
      <c r="Q44" s="161" t="str">
        <f ca="1">IF(SUMIF(INDIRECT(_xlfn.CONCAT("'Order Tracker'!E12:F",Data!$AM$3)),DATE(2025,MATCH(UPPER($Q$10), {"JAN","FEB","MAR","APR","MAY","JUN","JUL","AUG","SEP","OCT","NOV","DEC"}, 0),(DAY($D44))),INDIRECT(_xlfn.CONCAT("'Order Tracker'!Q12:R",Data!$AM$3)))=0,"- -",SUMIF(INDIRECT(_xlfn.CONCAT("'Order Tracker'!E12:F",Data!$AM$3)),DATE(2025,MATCH(UPPER($Q$10), {"JAN","FEB","MAR","APR","MAY","JUN","JUL","AUG","SEP","OCT","NOV","DEC"}, 0),(DAY($D44))),INDIRECT(_xlfn.CONCAT("'Order Tracker'!Q12:R",Data!$AM$3))))</f>
        <v>- -</v>
      </c>
      <c r="R44" s="161" t="str">
        <f ca="1">IF(SUMIF(INDIRECT(_xlfn.CONCAT("'Order Tracker'!E12:F",Data!$AM$3)),DATE(2025,MATCH(UPPER($Q$10), {"JAN","FEB","MAR","APR","MAY","JUN","JUL","AUG","SEP","OCT","NOV","DEC"}, 0),(DAY($D44))),INDIRECT(_xlfn.CONCAT("'Order Tracker'!S12:T",Data!$AM$3)))=0,"- -",SUMIF(INDIRECT(_xlfn.CONCAT("'Order Tracker'!E12:F",Data!$AM$3)),DATE(2025,MATCH(UPPER($Q$10), {"JAN","FEB","MAR","APR","MAY","JUN","JUL","AUG","SEP","OCT","NOV","DEC"}, 0),(DAY($D44))),INDIRECT(_xlfn.CONCAT("'Order Tracker'!S12:T",Data!$AM$3))))</f>
        <v>- -</v>
      </c>
      <c r="S44" s="156">
        <f t="shared" ca="1" si="3"/>
        <v>0</v>
      </c>
      <c r="T44" s="3"/>
      <c r="U44" s="161" t="str">
        <f ca="1">IF(SUMIF(INDIRECT(_xlfn.CONCAT("'Order Tracker'!E12:F",Data!$AM$3)),DATE(2025,MATCH(UPPER($U$10), {"JAN","FEB","MAR","APR","MAY","JUN","JUL","AUG","SEP","OCT","NOV","DEC"}, 0),(DAY($D44))),INDIRECT(_xlfn.CONCAT("'Order Tracker'!Q12:R",Data!$AM$3)))=0,"- -",SUMIF(INDIRECT(_xlfn.CONCAT("'Order Tracker'!E12:F",Data!$AM$3)),DATE(2025,MATCH(UPPER($U$10), {"JAN","FEB","MAR","APR","MAY","JUN","JUL","AUG","SEP","OCT","NOV","DEC"}, 0),(DAY($D44))),INDIRECT(_xlfn.CONCAT("'Order Tracker'!Q12:R",Data!$AM$3))))</f>
        <v>- -</v>
      </c>
      <c r="V44" s="161" t="str">
        <f ca="1">IF(SUMIF(INDIRECT(_xlfn.CONCAT("'Order Tracker'!E12:F",Data!$AM$3)),DATE(2025,MATCH(UPPER($U$10), {"JAN","FEB","MAR","APR","MAY","JUN","JUL","AUG","SEP","OCT","NOV","DEC"}, 0),(DAY($D44))),INDIRECT(_xlfn.CONCAT("'Order Tracker'!S12:T",Data!$AM$3)))=0,"- -",SUMIF(INDIRECT(_xlfn.CONCAT("'Order Tracker'!E12:F",Data!$AM$3)),DATE(2025,MATCH(UPPER($U$10), {"JAN","FEB","MAR","APR","MAY","JUN","JUL","AUG","SEP","OCT","NOV","DEC"}, 0),(DAY($D44))),INDIRECT(_xlfn.CONCAT("'Order Tracker'!S12:T",Data!$AM$3))))</f>
        <v>- -</v>
      </c>
      <c r="W44" s="156">
        <f t="shared" ca="1" si="4"/>
        <v>0</v>
      </c>
      <c r="X44" s="3"/>
      <c r="Y44" s="161" t="str">
        <f ca="1">IF(SUMIF(INDIRECT(_xlfn.CONCAT("'Order Tracker'!E12:F",Data!$AM$3)),DATE(2025,MATCH(UPPER($Y$10), {"JAN","FEB","MAR","APR","MAY","JUN","JUL","AUG","SEP","OCT","NOV","DEC"}, 0),(DAY($D44))),INDIRECT(_xlfn.CONCAT("'Order Tracker'!Q12:R",Data!$AM$3)))=0,"- -",SUMIF(INDIRECT(_xlfn.CONCAT("'Order Tracker'!E12:F",Data!$AM$3)),DATE(2025,MATCH(UPPER($Y$10), {"JAN","FEB","MAR","APR","MAY","JUN","JUL","AUG","SEP","OCT","NOV","DEC"}, 0),(DAY($D44))),INDIRECT(_xlfn.CONCAT("'Order Tracker'!Q12:R",Data!$AM$3))))</f>
        <v>- -</v>
      </c>
      <c r="Z44" s="161" t="str">
        <f ca="1">IF(SUMIF(INDIRECT(_xlfn.CONCAT("'Order Tracker'!E12:F",Data!$AM$3)),DATE(2025,MATCH(UPPER($Y$10), {"JAN","FEB","MAR","APR","MAY","JUN","JUL","AUG","SEP","OCT","NOV","DEC"}, 0),(DAY($D44))),INDIRECT(_xlfn.CONCAT("'Order Tracker'!S12:T",Data!$AM$3)))=0,"- -",SUMIF(INDIRECT(_xlfn.CONCAT("'Order Tracker'!E12:F",Data!$AM$3)),DATE(2025,MATCH(UPPER($Y$10), {"JAN","FEB","MAR","APR","MAY","JUN","JUL","AUG","SEP","OCT","NOV","DEC"}, 0),(DAY($D44))),INDIRECT(_xlfn.CONCAT("'Order Tracker'!S12:T",Data!$AM$3))))</f>
        <v>- -</v>
      </c>
      <c r="AA44" s="156">
        <f t="shared" ca="1" si="5"/>
        <v>0</v>
      </c>
      <c r="AB44" s="3"/>
      <c r="AC44" s="161" t="str">
        <f ca="1">IF(SUMIF(INDIRECT(_xlfn.CONCAT("'Order Tracker'!E12:F",Data!$AM$3)),DATE(2025,MATCH(UPPER($AC$10), {"JAN","FEB","MAR","APR","MAY","JUN","JUL","AUG","SEP","OCT","NOV","DEC"}, 0),(DAY($D44))),INDIRECT(_xlfn.CONCAT("'Order Tracker'!Q12:R",Data!$AM$3)))=0,"- -",SUMIF(INDIRECT(_xlfn.CONCAT("'Order Tracker'!E12:F",Data!$AM$3)),DATE(2025,MATCH(UPPER($AC$10), {"JAN","FEB","MAR","APR","MAY","JUN","JUL","AUG","SEP","OCT","NOV","DEC"}, 0),(DAY($D44))),INDIRECT(_xlfn.CONCAT("'Order Tracker'!Q12:R",Data!$AM$3))))</f>
        <v>- -</v>
      </c>
      <c r="AD44" s="161" t="str">
        <f ca="1">IF(SUMIF(INDIRECT(_xlfn.CONCAT("'Order Tracker'!E12:F",Data!$AM$3)),DATE(2025,MATCH(UPPER($AC$10), {"JAN","FEB","MAR","APR","MAY","JUN","JUL","AUG","SEP","OCT","NOV","DEC"}, 0),(DAY($D44))),INDIRECT(_xlfn.CONCAT("'Order Tracker'!S12:T",Data!$AM$3)))=0,"- -",SUMIF(INDIRECT(_xlfn.CONCAT("'Order Tracker'!E12:F",Data!$AM$3)),DATE(2025,MATCH(UPPER($AC$10), {"JAN","FEB","MAR","APR","MAY","JUN","JUL","AUG","SEP","OCT","NOV","DEC"}, 0),(DAY($D44))),INDIRECT(_xlfn.CONCAT("'Order Tracker'!S12:T",Data!$AM$3))))</f>
        <v>- -</v>
      </c>
      <c r="AE44" s="156">
        <f t="shared" ca="1" si="6"/>
        <v>0</v>
      </c>
      <c r="AF44" s="3"/>
      <c r="AG44" s="161" t="str">
        <f ca="1">IF(SUMIF(INDIRECT(_xlfn.CONCAT("'Order Tracker'!E12:F",Data!$AM$3)),DATE(2025,MATCH(UPPER($AG$10), {"JAN","FEB","MAR","APR","MAY","JUN","JUL","AUG","SEP","OCT","NOV","DEC"}, 0),(DAY($D44))),INDIRECT(_xlfn.CONCAT("'Order Tracker'!Q12:R",Data!$AM$3)))=0,"- -",SUMIF(INDIRECT(_xlfn.CONCAT("'Order Tracker'!E12:F",Data!$AM$3)),DATE(2025,MATCH(UPPER($AG$10), {"JAN","FEB","MAR","APR","MAY","JUN","JUL","AUG","SEP","OCT","NOV","DEC"}, 0),(DAY($D44))),INDIRECT(_xlfn.CONCAT("'Order Tracker'!Q12:R",Data!$AM$3))))</f>
        <v>- -</v>
      </c>
      <c r="AH44" s="161" t="str">
        <f ca="1">IF(SUMIF(INDIRECT(_xlfn.CONCAT("'Order Tracker'!E12:F",Data!$AM$3)),DATE(2025,MATCH(UPPER($AG$10), {"JAN","FEB","MAR","APR","MAY","JUN","JUL","AUG","SEP","OCT","NOV","DEC"}, 0),(DAY($D44))),INDIRECT(_xlfn.CONCAT("'Order Tracker'!S12:T",Data!$AM$3)))=0,"- -",SUMIF(INDIRECT(_xlfn.CONCAT("'Order Tracker'!E12:F",Data!$AM$3)),DATE(2025,MATCH(UPPER($AG$10), {"JAN","FEB","MAR","APR","MAY","JUN","JUL","AUG","SEP","OCT","NOV","DEC"}, 0),(DAY($D44))),INDIRECT(_xlfn.CONCAT("'Order Tracker'!S12:T",Data!$AM$3))))</f>
        <v>- -</v>
      </c>
      <c r="AI44" s="156">
        <f t="shared" ca="1" si="7"/>
        <v>0</v>
      </c>
      <c r="AJ44" s="3"/>
      <c r="AK44" s="161" t="str">
        <f ca="1">IF(SUMIF(INDIRECT(_xlfn.CONCAT("'Order Tracker'!E12:F",Data!$AM$3)),DATE(2025,MATCH(UPPER($AK$10), {"JAN","FEB","MAR","APR","MAY","JUN","JUL","AUG","SEP","OCT","NOV","DEC"}, 0),(DAY($D44))),INDIRECT(_xlfn.CONCAT("'Order Tracker'!Q12:R",Data!$AM$3)))=0,"- -",SUMIF(INDIRECT(_xlfn.CONCAT("'Order Tracker'!E12:F",Data!$AM$3)),DATE(2025,MATCH(UPPER($AK$10), {"JAN","FEB","MAR","APR","MAY","JUN","JUL","AUG","SEP","OCT","NOV","DEC"}, 0),(DAY($D44))),INDIRECT(_xlfn.CONCAT("'Order Tracker'!Q12:R",Data!$AM$3))))</f>
        <v>- -</v>
      </c>
      <c r="AL44" s="161" t="str">
        <f ca="1">IF(SUMIF(INDIRECT(_xlfn.CONCAT("'Order Tracker'!E12:F",Data!$AM$3)),DATE(2025,MATCH(UPPER($AK$10), {"JAN","FEB","MAR","APR","MAY","JUN","JUL","AUG","SEP","OCT","NOV","DEC"}, 0),(DAY($D44))),INDIRECT(_xlfn.CONCAT("'Order Tracker'!S12:T",Data!$AM$3)))=0,"- -",SUMIF(INDIRECT(_xlfn.CONCAT("'Order Tracker'!E12:F",Data!$AM$3)),DATE(2025,MATCH(UPPER($AK$10), {"JAN","FEB","MAR","APR","MAY","JUN","JUL","AUG","SEP","OCT","NOV","DEC"}, 0),(DAY($D44))),INDIRECT(_xlfn.CONCAT("'Order Tracker'!S12:T",Data!$AM$3))))</f>
        <v>- -</v>
      </c>
      <c r="AM44" s="156">
        <f t="shared" ca="1" si="8"/>
        <v>0</v>
      </c>
      <c r="AN44" s="3"/>
      <c r="AO44" s="161" t="str">
        <f ca="1">IF(SUMIF(INDIRECT(_xlfn.CONCAT("'Order Tracker'!E12:F",Data!$AM$3)),DATE(2025,MATCH(UPPER($AO$10), {"JAN","FEB","MAR","APR","MAY","JUN","JUL","AUG","SEP","OCT","NOV","DEC"}, 0),(DAY($D44))),INDIRECT(_xlfn.CONCAT("'Order Tracker'!Q12:R",Data!$AM$3)))=0,"- -",SUMIF(INDIRECT(_xlfn.CONCAT("'Order Tracker'!E12:F",Data!$AM$3)),DATE(2025,MATCH(UPPER($AO$10), {"JAN","FEB","MAR","APR","MAY","JUN","JUL","AUG","SEP","OCT","NOV","DEC"}, 0),(DAY($D44))),INDIRECT(_xlfn.CONCAT("'Order Tracker'!Q12:R",Data!$AM$3))))</f>
        <v>- -</v>
      </c>
      <c r="AP44" s="161" t="str">
        <f ca="1">IF(SUMIF(INDIRECT(_xlfn.CONCAT("'Order Tracker'!E12:F",Data!$AM$3)),DATE(2025,MATCH(UPPER($AO$10), {"JAN","FEB","MAR","APR","MAY","JUN","JUL","AUG","SEP","OCT","NOV","DEC"}, 0),(DAY($D44))),INDIRECT(_xlfn.CONCAT("'Order Tracker'!S12:T",Data!$AM$3)))=0,"- -",SUMIF(INDIRECT(_xlfn.CONCAT("'Order Tracker'!E12:F",Data!$AM$3)),DATE(2025,MATCH(UPPER($AO$10), {"JAN","FEB","MAR","APR","MAY","JUN","JUL","AUG","SEP","OCT","NOV","DEC"}, 0),(DAY($D44))),INDIRECT(_xlfn.CONCAT("'Order Tracker'!S12:T",Data!$AM$3))))</f>
        <v>- -</v>
      </c>
      <c r="AQ44" s="156">
        <f t="shared" ca="1" si="9"/>
        <v>0</v>
      </c>
      <c r="AR44" s="3"/>
      <c r="AS44" s="161" t="str">
        <f ca="1">IF(SUMIF(INDIRECT(_xlfn.CONCAT("'Order Tracker'!E12:F",Data!$AM$3)),DATE(2025,MATCH(UPPER($AS$10), {"JAN","FEB","MAR","APR","MAY","JUN","JUL","AUG","SEP","OCT","NOV","DEC"}, 0),(DAY($D44))),INDIRECT(_xlfn.CONCAT("'Order Tracker'!Q12:R",Data!$AM$3)))=0,"- -",SUMIF(INDIRECT(_xlfn.CONCAT("'Order Tracker'!E12:F",Data!$AM$3)),DATE(2025,MATCH(UPPER($AS$10), {"JAN","FEB","MAR","APR","MAY","JUN","JUL","AUG","SEP","OCT","NOV","DEC"}, 0),(DAY($D44))),INDIRECT(_xlfn.CONCAT("'Order Tracker'!Q12:R",Data!$AM$3))))</f>
        <v>- -</v>
      </c>
      <c r="AT44" s="161" t="str">
        <f ca="1">IF(SUMIF(INDIRECT(_xlfn.CONCAT("'Order Tracker'!E12:F",Data!$AM$3)),DATE(2025,MATCH(UPPER($AS$10), {"JAN","FEB","MAR","APR","MAY","JUN","JUL","AUG","SEP","OCT","NOV","DEC"}, 0),(DAY($D44))),INDIRECT(_xlfn.CONCAT("'Order Tracker'!S12:T",Data!$AM$3)))=0,"- -",SUMIF(INDIRECT(_xlfn.CONCAT("'Order Tracker'!E12:F",Data!$AM$3)),DATE(2025,MATCH(UPPER($AS$10), {"JAN","FEB","MAR","APR","MAY","JUN","JUL","AUG","SEP","OCT","NOV","DEC"}, 0),(DAY($D44))),INDIRECT(_xlfn.CONCAT("'Order Tracker'!S12:T",Data!$AM$3))))</f>
        <v>- -</v>
      </c>
      <c r="AU44" s="156">
        <f t="shared" ca="1" si="10"/>
        <v>0</v>
      </c>
      <c r="AV44" s="4"/>
      <c r="AW44" s="161" t="str">
        <f ca="1">IF(SUMIF(INDIRECT(_xlfn.CONCAT("'Order Tracker'!E12:F",Data!$AM$3)),DATE(2025,MATCH(UPPER($AW$10), {"JAN","FEB","MAR","APR","MAY","JUN","JUL","AUG","SEP","OCT","NOV","DEC"}, 0),(DAY($D44))),INDIRECT(_xlfn.CONCAT("'Order Tracker'!Q12:R",Data!$AM$3)))=0,"- -",SUMIF(INDIRECT(_xlfn.CONCAT("'Order Tracker'!E12:F",Data!$AM$3)),DATE(2025,MATCH(UPPER($AW$10), {"JAN","FEB","MAR","APR","MAY","JUN","JUL","AUG","SEP","OCT","NOV","DEC"}, 0),(DAY($D44))),INDIRECT(_xlfn.CONCAT("'Order Tracker'!Q12:R",Data!$AM$3))))</f>
        <v>- -</v>
      </c>
      <c r="AX44" s="161" t="str">
        <f ca="1">IF(SUMIF(INDIRECT(_xlfn.CONCAT("'Order Tracker'!E12:F",Data!$AM$3)),DATE(2025,MATCH(UPPER($AW$10), {"JAN","FEB","MAR","APR","MAY","JUN","JUL","AUG","SEP","OCT","NOV","DEC"}, 0),(DAY($D44))),INDIRECT(_xlfn.CONCAT("'Order Tracker'!S12:T",Data!$AM$3)))=0,"- -",SUMIF(INDIRECT(_xlfn.CONCAT("'Order Tracker'!E12:F",Data!$AM$3)),DATE(2025,MATCH(UPPER($AW$10), {"JAN","FEB","MAR","APR","MAY","JUN","JUL","AUG","SEP","OCT","NOV","DEC"}, 0),(DAY($D44))),INDIRECT(_xlfn.CONCAT("'Order Tracker'!S12:T",Data!$AM$3))))</f>
        <v>- -</v>
      </c>
      <c r="AY44" s="156">
        <f t="shared" ca="1" si="11"/>
        <v>0</v>
      </c>
      <c r="AZ44" s="109"/>
    </row>
    <row r="45" spans="4:52" ht="19" thickBot="1" x14ac:dyDescent="0.25">
      <c r="D45" s="165" t="s">
        <v>42</v>
      </c>
      <c r="E45" s="166">
        <f ca="1">SUM(E14:E44)</f>
        <v>0</v>
      </c>
      <c r="F45" s="167">
        <f ca="1">SUM(F14:F44)</f>
        <v>0</v>
      </c>
      <c r="G45" s="163">
        <f ca="1">IFERROR(SUM(G14:G44),0)</f>
        <v>0</v>
      </c>
      <c r="H45" s="164" t="s">
        <v>42</v>
      </c>
      <c r="I45" s="167">
        <f ca="1">SUM(I14:I44)</f>
        <v>0</v>
      </c>
      <c r="J45" s="167">
        <f ca="1">SUM(J14:J44)</f>
        <v>0</v>
      </c>
      <c r="K45" s="163">
        <f ca="1">IFERROR(SUM(K14:K44),0)</f>
        <v>0</v>
      </c>
      <c r="L45" s="164" t="s">
        <v>42</v>
      </c>
      <c r="M45" s="167">
        <f ca="1">SUM(M14:M44)</f>
        <v>0</v>
      </c>
      <c r="N45" s="167">
        <f ca="1">SUM(N14:N44)</f>
        <v>0</v>
      </c>
      <c r="O45" s="163">
        <f ca="1">IFERROR(SUM(O14:O44),0)</f>
        <v>0</v>
      </c>
      <c r="P45" s="164" t="s">
        <v>42</v>
      </c>
      <c r="Q45" s="167">
        <f ca="1">SUM(Q14:Q44)</f>
        <v>0</v>
      </c>
      <c r="R45" s="167">
        <f ca="1">SUM(R14:R44)</f>
        <v>0</v>
      </c>
      <c r="S45" s="163">
        <f ca="1">IFERROR(SUM(S14:S44),0)</f>
        <v>0</v>
      </c>
      <c r="T45" s="164" t="s">
        <v>42</v>
      </c>
      <c r="U45" s="167">
        <f ca="1">SUM(U14:U44)</f>
        <v>0</v>
      </c>
      <c r="V45" s="167">
        <f ca="1">SUM(V14:V44)</f>
        <v>0</v>
      </c>
      <c r="W45" s="163">
        <f ca="1">IFERROR(SUM(W14:W44),0)</f>
        <v>0</v>
      </c>
      <c r="X45" s="164" t="s">
        <v>42</v>
      </c>
      <c r="Y45" s="167">
        <f ca="1">SUM(Y14:Y44)</f>
        <v>0</v>
      </c>
      <c r="Z45" s="167">
        <f ca="1">SUM(Z14:Z44)</f>
        <v>0</v>
      </c>
      <c r="AA45" s="163">
        <f ca="1">IFERROR(SUM(AA14:AA44),0)</f>
        <v>0</v>
      </c>
      <c r="AB45" s="164" t="s">
        <v>42</v>
      </c>
      <c r="AC45" s="167">
        <f ca="1">SUM(AC14:AC44)</f>
        <v>0</v>
      </c>
      <c r="AD45" s="167">
        <f ca="1">SUM(AD14:AD44)</f>
        <v>0</v>
      </c>
      <c r="AE45" s="163">
        <f ca="1">IFERROR(SUM(AE14:AE44),0)</f>
        <v>0</v>
      </c>
      <c r="AF45" s="164" t="s">
        <v>42</v>
      </c>
      <c r="AG45" s="167">
        <f ca="1">SUM(AG14:AG44)</f>
        <v>240</v>
      </c>
      <c r="AH45" s="167">
        <f ca="1">SUM(AH14:AH44)</f>
        <v>120</v>
      </c>
      <c r="AI45" s="163">
        <f ca="1">IFERROR(SUM(AI14:AI44),0)</f>
        <v>120</v>
      </c>
      <c r="AJ45" s="164" t="s">
        <v>42</v>
      </c>
      <c r="AK45" s="167">
        <f ca="1">SUM(AK14:AK44)</f>
        <v>0</v>
      </c>
      <c r="AL45" s="167">
        <f ca="1">SUM(AL14:AL44)</f>
        <v>0</v>
      </c>
      <c r="AM45" s="163">
        <f ca="1">IFERROR(SUM(AM14:AM44),0)</f>
        <v>0</v>
      </c>
      <c r="AN45" s="164" t="s">
        <v>42</v>
      </c>
      <c r="AO45" s="167">
        <f ca="1">SUM(AO14:AO44)</f>
        <v>0</v>
      </c>
      <c r="AP45" s="167">
        <f ca="1">SUM(AP14:AP44)</f>
        <v>0</v>
      </c>
      <c r="AQ45" s="163">
        <f ca="1">IFERROR(SUM(AQ14:AQ44),0)</f>
        <v>0</v>
      </c>
      <c r="AR45" s="164" t="s">
        <v>42</v>
      </c>
      <c r="AS45" s="167">
        <f ca="1">SUM(AS14:AS44)</f>
        <v>0</v>
      </c>
      <c r="AT45" s="167">
        <f ca="1">SUM(AT14:AT44)</f>
        <v>0</v>
      </c>
      <c r="AU45" s="163">
        <f ca="1">IFERROR(SUM(AU14:AU44),0)</f>
        <v>0</v>
      </c>
      <c r="AV45" s="164" t="s">
        <v>42</v>
      </c>
      <c r="AW45" s="167">
        <f ca="1">SUM(AW14:AW44)</f>
        <v>0</v>
      </c>
      <c r="AX45" s="167">
        <f ca="1">SUM(AX14:AX44)</f>
        <v>0</v>
      </c>
      <c r="AY45" s="162">
        <f ca="1">IFERROR(SUM(AY14:AY44),0)</f>
        <v>0</v>
      </c>
      <c r="AZ45" s="109"/>
    </row>
    <row r="46" spans="4:52" ht="17" thickTop="1" x14ac:dyDescent="0.2">
      <c r="D46" s="107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09"/>
    </row>
    <row r="47" spans="4:52" ht="17" thickBot="1" x14ac:dyDescent="0.25">
      <c r="D47" s="110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  <c r="AZ47" s="112"/>
    </row>
    <row r="48" spans="4:52" ht="18" thickTop="1" thickBot="1" x14ac:dyDescent="0.25">
      <c r="D48" s="4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6"/>
    </row>
  </sheetData>
  <sheetProtection sheet="1" objects="1" scenarios="1" selectLockedCells="1"/>
  <mergeCells count="50">
    <mergeCell ref="O12:O13"/>
    <mergeCell ref="Q12:Q13"/>
    <mergeCell ref="AQ12:AQ13"/>
    <mergeCell ref="AS12:AS13"/>
    <mergeCell ref="E3:O7"/>
    <mergeCell ref="Y12:Y13"/>
    <mergeCell ref="AW10:AY11"/>
    <mergeCell ref="E12:E13"/>
    <mergeCell ref="G12:G13"/>
    <mergeCell ref="I12:I13"/>
    <mergeCell ref="K12:K13"/>
    <mergeCell ref="M12:M13"/>
    <mergeCell ref="Y10:AA11"/>
    <mergeCell ref="AC10:AE11"/>
    <mergeCell ref="AG10:AI11"/>
    <mergeCell ref="AK10:AM11"/>
    <mergeCell ref="AO10:AQ11"/>
    <mergeCell ref="AS10:AU11"/>
    <mergeCell ref="U12:U13"/>
    <mergeCell ref="W12:W13"/>
    <mergeCell ref="AU12:AU13"/>
    <mergeCell ref="AW12:AW13"/>
    <mergeCell ref="AT12:AT13"/>
    <mergeCell ref="AA12:AA13"/>
    <mergeCell ref="AC12:AC13"/>
    <mergeCell ref="AE12:AE13"/>
    <mergeCell ref="AG12:AG13"/>
    <mergeCell ref="AI12:AI13"/>
    <mergeCell ref="AK12:AK13"/>
    <mergeCell ref="AL12:AL13"/>
    <mergeCell ref="AM12:AM13"/>
    <mergeCell ref="AO12:AO13"/>
    <mergeCell ref="AD12:AD13"/>
    <mergeCell ref="AH12:AH13"/>
    <mergeCell ref="D10:D13"/>
    <mergeCell ref="E10:G11"/>
    <mergeCell ref="F12:F13"/>
    <mergeCell ref="AP12:AP13"/>
    <mergeCell ref="AY12:AY13"/>
    <mergeCell ref="U10:W11"/>
    <mergeCell ref="Q10:S11"/>
    <mergeCell ref="M10:O11"/>
    <mergeCell ref="I10:K11"/>
    <mergeCell ref="AX12:AX13"/>
    <mergeCell ref="J12:J13"/>
    <mergeCell ref="N12:N13"/>
    <mergeCell ref="R12:R13"/>
    <mergeCell ref="V12:V13"/>
    <mergeCell ref="Z12:Z13"/>
    <mergeCell ref="S12:S1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2B837-F890-0440-BB18-4A99E2BC6851}">
  <sheetPr codeName="Sheet8"/>
  <dimension ref="B2:K32"/>
  <sheetViews>
    <sheetView showGridLines="0" zoomScale="93" workbookViewId="0">
      <selection activeCell="D13" sqref="D13:E14"/>
    </sheetView>
  </sheetViews>
  <sheetFormatPr baseColWidth="10" defaultRowHeight="16" x14ac:dyDescent="0.2"/>
  <sheetData>
    <row r="2" spans="2:11" ht="17" thickBot="1" x14ac:dyDescent="0.25"/>
    <row r="3" spans="2:11" ht="16" customHeight="1" x14ac:dyDescent="0.2">
      <c r="B3" s="35"/>
      <c r="C3" s="277" t="s">
        <v>47</v>
      </c>
      <c r="D3" s="277"/>
      <c r="E3" s="277"/>
      <c r="F3" s="277"/>
      <c r="G3" s="277"/>
      <c r="H3" s="277"/>
      <c r="I3" s="277"/>
      <c r="J3" s="277"/>
      <c r="K3" s="278"/>
    </row>
    <row r="4" spans="2:11" ht="16" customHeight="1" x14ac:dyDescent="0.2">
      <c r="B4" s="36"/>
      <c r="C4" s="279"/>
      <c r="D4" s="279"/>
      <c r="E4" s="279"/>
      <c r="F4" s="279"/>
      <c r="G4" s="279"/>
      <c r="H4" s="279"/>
      <c r="I4" s="279"/>
      <c r="J4" s="279"/>
      <c r="K4" s="280"/>
    </row>
    <row r="5" spans="2:11" ht="16" customHeight="1" x14ac:dyDescent="0.2">
      <c r="B5" s="36"/>
      <c r="C5" s="279"/>
      <c r="D5" s="279"/>
      <c r="E5" s="279"/>
      <c r="F5" s="279"/>
      <c r="G5" s="279"/>
      <c r="H5" s="279"/>
      <c r="I5" s="279"/>
      <c r="J5" s="279"/>
      <c r="K5" s="280"/>
    </row>
    <row r="6" spans="2:11" ht="16" customHeight="1" thickBot="1" x14ac:dyDescent="0.25">
      <c r="B6" s="37"/>
      <c r="C6" s="279"/>
      <c r="D6" s="279"/>
      <c r="E6" s="279"/>
      <c r="F6" s="279"/>
      <c r="G6" s="279"/>
      <c r="H6" s="279"/>
      <c r="I6" s="279"/>
      <c r="J6" s="279"/>
      <c r="K6" s="280"/>
    </row>
    <row r="7" spans="2:11" ht="17" customHeight="1" thickBot="1" x14ac:dyDescent="0.25">
      <c r="B7" s="110"/>
      <c r="C7" s="281"/>
      <c r="D7" s="281"/>
      <c r="E7" s="281"/>
      <c r="F7" s="281"/>
      <c r="G7" s="281"/>
      <c r="H7" s="281"/>
      <c r="I7" s="281"/>
      <c r="J7" s="281"/>
      <c r="K7" s="282"/>
    </row>
    <row r="8" spans="2:11" ht="17" customHeight="1" thickTop="1" thickBot="1" x14ac:dyDescent="0.25">
      <c r="B8" s="34"/>
      <c r="C8" s="22"/>
      <c r="D8" s="80"/>
      <c r="E8" s="80"/>
      <c r="F8" s="81"/>
      <c r="G8" s="80"/>
      <c r="H8" s="80"/>
      <c r="I8" s="22"/>
      <c r="J8" s="80"/>
      <c r="K8" s="82"/>
    </row>
    <row r="9" spans="2:11" ht="17" customHeight="1" thickTop="1" thickBot="1" x14ac:dyDescent="0.25">
      <c r="B9" s="83"/>
      <c r="C9" s="32"/>
      <c r="D9" s="31"/>
      <c r="E9" s="33"/>
      <c r="F9" s="25"/>
      <c r="G9" s="30"/>
      <c r="H9" s="31"/>
      <c r="I9" s="32"/>
      <c r="J9" s="31"/>
      <c r="K9" s="33"/>
    </row>
    <row r="10" spans="2:11" ht="17" customHeight="1" thickBot="1" x14ac:dyDescent="0.25">
      <c r="B10" s="107"/>
      <c r="C10" s="113"/>
      <c r="D10" s="169"/>
      <c r="E10" s="169"/>
      <c r="F10" s="25"/>
      <c r="G10" s="169"/>
      <c r="H10" s="169"/>
      <c r="I10" s="113"/>
      <c r="J10" s="169"/>
      <c r="K10" s="170"/>
    </row>
    <row r="11" spans="2:11" ht="16" customHeight="1" x14ac:dyDescent="0.2">
      <c r="B11" s="257" t="s">
        <v>50</v>
      </c>
      <c r="C11" s="171"/>
      <c r="D11" s="283" t="s">
        <v>48</v>
      </c>
      <c r="E11" s="284"/>
      <c r="F11" s="11"/>
      <c r="G11" s="283" t="s">
        <v>49</v>
      </c>
      <c r="H11" s="284"/>
      <c r="I11" s="113"/>
      <c r="J11" s="283" t="s">
        <v>96</v>
      </c>
      <c r="K11" s="284"/>
    </row>
    <row r="12" spans="2:11" ht="16" customHeight="1" thickBot="1" x14ac:dyDescent="0.25">
      <c r="B12" s="258"/>
      <c r="C12" s="171"/>
      <c r="D12" s="285"/>
      <c r="E12" s="286"/>
      <c r="F12" s="11"/>
      <c r="G12" s="285"/>
      <c r="H12" s="286"/>
      <c r="I12" s="113"/>
      <c r="J12" s="285"/>
      <c r="K12" s="286"/>
    </row>
    <row r="13" spans="2:11" ht="16" customHeight="1" x14ac:dyDescent="0.2">
      <c r="B13" s="267">
        <v>1</v>
      </c>
      <c r="C13" s="172"/>
      <c r="D13" s="259" t="s">
        <v>51</v>
      </c>
      <c r="E13" s="260"/>
      <c r="F13" s="173"/>
      <c r="G13" s="263">
        <v>80</v>
      </c>
      <c r="H13" s="264"/>
      <c r="I13" s="174"/>
      <c r="J13" s="273">
        <v>40</v>
      </c>
      <c r="K13" s="274"/>
    </row>
    <row r="14" spans="2:11" ht="16" customHeight="1" thickBot="1" x14ac:dyDescent="0.25">
      <c r="B14" s="268"/>
      <c r="C14" s="172"/>
      <c r="D14" s="261"/>
      <c r="E14" s="262"/>
      <c r="F14" s="173"/>
      <c r="G14" s="265"/>
      <c r="H14" s="266"/>
      <c r="I14" s="174"/>
      <c r="J14" s="275"/>
      <c r="K14" s="276"/>
    </row>
    <row r="15" spans="2:11" ht="16" customHeight="1" thickBot="1" x14ac:dyDescent="0.25">
      <c r="B15" s="175"/>
      <c r="C15" s="174"/>
      <c r="D15" s="176"/>
      <c r="E15" s="176"/>
      <c r="F15" s="173"/>
      <c r="G15" s="177"/>
      <c r="H15" s="177"/>
      <c r="I15" s="174"/>
      <c r="J15" s="178"/>
      <c r="K15" s="179"/>
    </row>
    <row r="16" spans="2:11" ht="16" customHeight="1" x14ac:dyDescent="0.2">
      <c r="B16" s="267">
        <v>2</v>
      </c>
      <c r="C16" s="172"/>
      <c r="D16" s="259" t="s">
        <v>52</v>
      </c>
      <c r="E16" s="260"/>
      <c r="F16" s="173"/>
      <c r="G16" s="263">
        <v>60</v>
      </c>
      <c r="H16" s="264"/>
      <c r="I16" s="174"/>
      <c r="J16" s="273">
        <v>30</v>
      </c>
      <c r="K16" s="274"/>
    </row>
    <row r="17" spans="2:11" ht="16" customHeight="1" thickBot="1" x14ac:dyDescent="0.25">
      <c r="B17" s="268"/>
      <c r="C17" s="172"/>
      <c r="D17" s="261"/>
      <c r="E17" s="262"/>
      <c r="F17" s="173"/>
      <c r="G17" s="265"/>
      <c r="H17" s="266"/>
      <c r="I17" s="174"/>
      <c r="J17" s="275"/>
      <c r="K17" s="276"/>
    </row>
    <row r="18" spans="2:11" ht="16" customHeight="1" thickBot="1" x14ac:dyDescent="0.25">
      <c r="B18" s="175"/>
      <c r="C18" s="174"/>
      <c r="D18" s="176"/>
      <c r="E18" s="176"/>
      <c r="F18" s="173"/>
      <c r="G18" s="177"/>
      <c r="H18" s="177"/>
      <c r="I18" s="174"/>
      <c r="J18" s="178"/>
      <c r="K18" s="179"/>
    </row>
    <row r="19" spans="2:11" ht="16" customHeight="1" x14ac:dyDescent="0.2">
      <c r="B19" s="267">
        <v>3</v>
      </c>
      <c r="C19" s="172"/>
      <c r="D19" s="259" t="s">
        <v>53</v>
      </c>
      <c r="E19" s="260"/>
      <c r="F19" s="173"/>
      <c r="G19" s="263">
        <v>150</v>
      </c>
      <c r="H19" s="264"/>
      <c r="I19" s="174"/>
      <c r="J19" s="273">
        <v>75</v>
      </c>
      <c r="K19" s="274"/>
    </row>
    <row r="20" spans="2:11" ht="16" customHeight="1" thickBot="1" x14ac:dyDescent="0.25">
      <c r="B20" s="268"/>
      <c r="C20" s="172"/>
      <c r="D20" s="261"/>
      <c r="E20" s="262"/>
      <c r="F20" s="173"/>
      <c r="G20" s="265"/>
      <c r="H20" s="266"/>
      <c r="I20" s="174"/>
      <c r="J20" s="275"/>
      <c r="K20" s="276"/>
    </row>
    <row r="21" spans="2:11" ht="16" customHeight="1" thickBot="1" x14ac:dyDescent="0.25">
      <c r="B21" s="175"/>
      <c r="C21" s="174"/>
      <c r="D21" s="176"/>
      <c r="E21" s="176"/>
      <c r="F21" s="173"/>
      <c r="G21" s="177"/>
      <c r="H21" s="177"/>
      <c r="I21" s="174"/>
      <c r="J21" s="178"/>
      <c r="K21" s="179"/>
    </row>
    <row r="22" spans="2:11" ht="16" customHeight="1" x14ac:dyDescent="0.2">
      <c r="B22" s="267">
        <v>4</v>
      </c>
      <c r="C22" s="172"/>
      <c r="D22" s="259" t="s">
        <v>54</v>
      </c>
      <c r="E22" s="260"/>
      <c r="F22" s="173"/>
      <c r="G22" s="263">
        <v>20</v>
      </c>
      <c r="H22" s="264"/>
      <c r="I22" s="174"/>
      <c r="J22" s="273">
        <v>10</v>
      </c>
      <c r="K22" s="274"/>
    </row>
    <row r="23" spans="2:11" ht="16" customHeight="1" thickBot="1" x14ac:dyDescent="0.25">
      <c r="B23" s="268"/>
      <c r="C23" s="172"/>
      <c r="D23" s="261"/>
      <c r="E23" s="262"/>
      <c r="F23" s="173"/>
      <c r="G23" s="265"/>
      <c r="H23" s="266"/>
      <c r="I23" s="174"/>
      <c r="J23" s="275"/>
      <c r="K23" s="276"/>
    </row>
    <row r="24" spans="2:11" ht="16" customHeight="1" thickBot="1" x14ac:dyDescent="0.25">
      <c r="B24" s="175"/>
      <c r="C24" s="174"/>
      <c r="D24" s="176"/>
      <c r="E24" s="176"/>
      <c r="F24" s="173"/>
      <c r="G24" s="177"/>
      <c r="H24" s="177"/>
      <c r="I24" s="174"/>
      <c r="J24" s="178"/>
      <c r="K24" s="179"/>
    </row>
    <row r="25" spans="2:11" ht="16" customHeight="1" x14ac:dyDescent="0.2">
      <c r="B25" s="267">
        <v>5</v>
      </c>
      <c r="C25" s="172"/>
      <c r="D25" s="259" t="s">
        <v>55</v>
      </c>
      <c r="E25" s="260"/>
      <c r="F25" s="173"/>
      <c r="G25" s="263">
        <v>35</v>
      </c>
      <c r="H25" s="264"/>
      <c r="I25" s="174"/>
      <c r="J25" s="273">
        <v>17.5</v>
      </c>
      <c r="K25" s="274"/>
    </row>
    <row r="26" spans="2:11" ht="16" customHeight="1" thickBot="1" x14ac:dyDescent="0.25">
      <c r="B26" s="268"/>
      <c r="C26" s="172"/>
      <c r="D26" s="261"/>
      <c r="E26" s="262"/>
      <c r="F26" s="173"/>
      <c r="G26" s="265"/>
      <c r="H26" s="266"/>
      <c r="I26" s="174"/>
      <c r="J26" s="275"/>
      <c r="K26" s="276"/>
    </row>
    <row r="27" spans="2:11" ht="16" customHeight="1" thickBot="1" x14ac:dyDescent="0.25">
      <c r="B27" s="175"/>
      <c r="C27" s="174"/>
      <c r="D27" s="176"/>
      <c r="E27" s="176"/>
      <c r="F27" s="173"/>
      <c r="G27" s="177"/>
      <c r="H27" s="177"/>
      <c r="I27" s="174"/>
      <c r="J27" s="178"/>
      <c r="K27" s="179"/>
    </row>
    <row r="28" spans="2:11" ht="16" customHeight="1" x14ac:dyDescent="0.2">
      <c r="B28" s="267">
        <v>6</v>
      </c>
      <c r="C28" s="172"/>
      <c r="D28" s="259" t="s">
        <v>56</v>
      </c>
      <c r="E28" s="260"/>
      <c r="F28" s="173"/>
      <c r="G28" s="263">
        <v>15</v>
      </c>
      <c r="H28" s="264"/>
      <c r="I28" s="174"/>
      <c r="J28" s="273">
        <v>7.5</v>
      </c>
      <c r="K28" s="274"/>
    </row>
    <row r="29" spans="2:11" ht="16" customHeight="1" thickBot="1" x14ac:dyDescent="0.25">
      <c r="B29" s="268"/>
      <c r="C29" s="172"/>
      <c r="D29" s="269"/>
      <c r="E29" s="270"/>
      <c r="F29" s="173"/>
      <c r="G29" s="271"/>
      <c r="H29" s="272"/>
      <c r="I29" s="174"/>
      <c r="J29" s="269"/>
      <c r="K29" s="270"/>
    </row>
    <row r="30" spans="2:11" ht="17" thickBot="1" x14ac:dyDescent="0.25">
      <c r="B30" s="168"/>
      <c r="C30" s="113"/>
      <c r="D30" s="117"/>
      <c r="E30" s="106"/>
      <c r="F30" s="10"/>
      <c r="G30" s="104"/>
      <c r="H30" s="117"/>
      <c r="I30" s="113"/>
      <c r="J30" s="117"/>
      <c r="K30" s="106"/>
    </row>
    <row r="31" spans="2:11" ht="17" thickBot="1" x14ac:dyDescent="0.25">
      <c r="B31" s="26"/>
      <c r="C31" s="28"/>
      <c r="D31" s="28"/>
      <c r="E31" s="29"/>
      <c r="F31" s="10"/>
      <c r="G31" s="27"/>
      <c r="H31" s="28"/>
      <c r="I31" s="28"/>
      <c r="J31" s="28"/>
      <c r="K31" s="29"/>
    </row>
    <row r="32" spans="2:11" ht="18" thickTop="1" thickBot="1" x14ac:dyDescent="0.25">
      <c r="B32" s="4"/>
      <c r="C32" s="3"/>
      <c r="D32" s="3"/>
      <c r="E32" s="3"/>
      <c r="F32" s="3"/>
      <c r="G32" s="3"/>
      <c r="H32" s="3"/>
      <c r="I32" s="3"/>
      <c r="J32" s="3"/>
      <c r="K32" s="6"/>
    </row>
  </sheetData>
  <sheetProtection sheet="1" objects="1" scenarios="1" selectLockedCells="1"/>
  <mergeCells count="29">
    <mergeCell ref="J25:K26"/>
    <mergeCell ref="J28:K29"/>
    <mergeCell ref="C3:K7"/>
    <mergeCell ref="J11:K12"/>
    <mergeCell ref="J13:K14"/>
    <mergeCell ref="J16:K17"/>
    <mergeCell ref="J19:K20"/>
    <mergeCell ref="J22:K23"/>
    <mergeCell ref="G11:H12"/>
    <mergeCell ref="D11:E12"/>
    <mergeCell ref="B19:B20"/>
    <mergeCell ref="D19:E20"/>
    <mergeCell ref="G19:H20"/>
    <mergeCell ref="B28:B29"/>
    <mergeCell ref="D28:E29"/>
    <mergeCell ref="G28:H29"/>
    <mergeCell ref="B22:B23"/>
    <mergeCell ref="D22:E23"/>
    <mergeCell ref="G22:H23"/>
    <mergeCell ref="B25:B26"/>
    <mergeCell ref="D25:E26"/>
    <mergeCell ref="G25:H26"/>
    <mergeCell ref="B11:B12"/>
    <mergeCell ref="D13:E14"/>
    <mergeCell ref="G13:H14"/>
    <mergeCell ref="B13:B14"/>
    <mergeCell ref="B16:B17"/>
    <mergeCell ref="D16:E17"/>
    <mergeCell ref="G16:H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464E-D71A-3743-9FAA-972EF661D3A5}">
  <sheetPr codeName="Sheet12"/>
  <dimension ref="B3:JK35"/>
  <sheetViews>
    <sheetView showGridLines="0" zoomScale="75" zoomScaleNormal="89" workbookViewId="0">
      <selection activeCell="T19" sqref="T19"/>
    </sheetView>
  </sheetViews>
  <sheetFormatPr baseColWidth="10" defaultRowHeight="16" x14ac:dyDescent="0.2"/>
  <cols>
    <col min="9" max="9" width="4.33203125" customWidth="1"/>
  </cols>
  <sheetData>
    <row r="3" spans="2:271" ht="17" customHeight="1" thickBot="1" x14ac:dyDescent="0.25"/>
    <row r="4" spans="2:271" ht="15" customHeight="1" x14ac:dyDescent="0.2">
      <c r="B4" s="104"/>
      <c r="C4" s="298" t="s">
        <v>105</v>
      </c>
      <c r="D4" s="298"/>
      <c r="E4" s="298"/>
      <c r="F4" s="298"/>
      <c r="G4" s="298"/>
      <c r="H4" s="298"/>
      <c r="I4" s="180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7"/>
      <c r="BC4" s="117"/>
      <c r="BD4" s="117"/>
      <c r="BE4" s="117"/>
      <c r="BF4" s="117"/>
      <c r="BG4" s="117"/>
      <c r="BH4" s="117"/>
      <c r="BI4" s="117"/>
      <c r="BJ4" s="117"/>
      <c r="BK4" s="117"/>
      <c r="BL4" s="117"/>
      <c r="BM4" s="117"/>
      <c r="BN4" s="117"/>
      <c r="BO4" s="117"/>
      <c r="BP4" s="117"/>
      <c r="BQ4" s="117"/>
      <c r="BR4" s="117"/>
      <c r="BS4" s="117"/>
      <c r="BT4" s="117"/>
      <c r="BU4" s="117"/>
      <c r="BV4" s="117"/>
      <c r="BW4" s="117"/>
      <c r="BX4" s="117"/>
      <c r="BY4" s="117"/>
      <c r="BZ4" s="117"/>
      <c r="CA4" s="117"/>
      <c r="CB4" s="117"/>
      <c r="CC4" s="117"/>
      <c r="CD4" s="117"/>
      <c r="CE4" s="117"/>
      <c r="CF4" s="117"/>
      <c r="CG4" s="117"/>
      <c r="CH4" s="117"/>
      <c r="CI4" s="117"/>
      <c r="CJ4" s="117"/>
      <c r="CK4" s="117"/>
      <c r="CL4" s="117"/>
      <c r="CM4" s="117"/>
      <c r="CN4" s="117"/>
      <c r="CO4" s="117"/>
      <c r="CP4" s="117"/>
      <c r="CQ4" s="117"/>
      <c r="CR4" s="117"/>
      <c r="CS4" s="117"/>
      <c r="CT4" s="117"/>
      <c r="CU4" s="117"/>
      <c r="CV4" s="117"/>
      <c r="CW4" s="117"/>
      <c r="CX4" s="117"/>
      <c r="CY4" s="117"/>
      <c r="CZ4" s="117"/>
      <c r="DA4" s="117"/>
      <c r="DB4" s="117"/>
      <c r="DC4" s="117"/>
      <c r="DD4" s="117"/>
      <c r="DE4" s="117"/>
      <c r="DF4" s="117"/>
      <c r="DG4" s="117"/>
      <c r="DH4" s="117"/>
      <c r="DI4" s="117"/>
      <c r="DJ4" s="117"/>
      <c r="DK4" s="117"/>
      <c r="DL4" s="117"/>
      <c r="DM4" s="117"/>
      <c r="DN4" s="117"/>
      <c r="DO4" s="117"/>
      <c r="DP4" s="117"/>
      <c r="DQ4" s="117"/>
      <c r="DR4" s="117"/>
      <c r="DS4" s="117"/>
      <c r="DT4" s="117"/>
      <c r="DU4" s="117"/>
      <c r="DV4" s="117"/>
      <c r="DW4" s="117"/>
      <c r="DX4" s="117"/>
      <c r="DY4" s="117"/>
      <c r="DZ4" s="117"/>
      <c r="EA4" s="117"/>
      <c r="EB4" s="117"/>
      <c r="EC4" s="117"/>
      <c r="ED4" s="117"/>
      <c r="EE4" s="117"/>
      <c r="EF4" s="117"/>
      <c r="EG4" s="117"/>
      <c r="EH4" s="117"/>
      <c r="EI4" s="117"/>
      <c r="EJ4" s="117"/>
      <c r="EK4" s="117"/>
      <c r="EL4" s="117"/>
      <c r="EM4" s="117"/>
      <c r="EN4" s="117"/>
      <c r="EO4" s="117"/>
      <c r="EP4" s="117"/>
      <c r="EQ4" s="117"/>
      <c r="ER4" s="117"/>
      <c r="ES4" s="117"/>
      <c r="ET4" s="117"/>
      <c r="EU4" s="117"/>
      <c r="EV4" s="117"/>
      <c r="EW4" s="117"/>
      <c r="EX4" s="117"/>
      <c r="EY4" s="117"/>
      <c r="EZ4" s="117"/>
      <c r="FA4" s="117"/>
      <c r="FB4" s="117"/>
      <c r="FC4" s="117"/>
      <c r="FD4" s="117"/>
      <c r="FE4" s="117"/>
      <c r="FF4" s="117"/>
      <c r="FG4" s="117"/>
      <c r="FH4" s="117"/>
      <c r="FI4" s="117"/>
      <c r="FJ4" s="117"/>
      <c r="FK4" s="117"/>
      <c r="FL4" s="117"/>
      <c r="FM4" s="117"/>
      <c r="FN4" s="117"/>
      <c r="FO4" s="117"/>
      <c r="FP4" s="117"/>
      <c r="FQ4" s="117"/>
      <c r="FR4" s="117"/>
      <c r="FS4" s="117"/>
      <c r="FT4" s="117"/>
      <c r="FU4" s="117"/>
      <c r="FV4" s="117"/>
      <c r="FW4" s="117"/>
      <c r="FX4" s="117"/>
      <c r="FY4" s="117"/>
      <c r="FZ4" s="117"/>
      <c r="GA4" s="117"/>
      <c r="GB4" s="117"/>
      <c r="GC4" s="117"/>
      <c r="GD4" s="117"/>
      <c r="GE4" s="117"/>
      <c r="GF4" s="117"/>
      <c r="GG4" s="117"/>
      <c r="GH4" s="117"/>
      <c r="GI4" s="117"/>
      <c r="GJ4" s="117"/>
      <c r="GK4" s="117"/>
      <c r="GL4" s="117"/>
      <c r="GM4" s="117"/>
      <c r="GN4" s="117"/>
      <c r="GO4" s="117"/>
      <c r="GP4" s="117"/>
      <c r="GQ4" s="117"/>
      <c r="GR4" s="117"/>
      <c r="GS4" s="117"/>
      <c r="GT4" s="117"/>
      <c r="GU4" s="117"/>
      <c r="GV4" s="117"/>
      <c r="GW4" s="117"/>
      <c r="GX4" s="117"/>
      <c r="GY4" s="117"/>
      <c r="GZ4" s="117"/>
      <c r="HA4" s="117"/>
      <c r="HB4" s="117"/>
      <c r="HC4" s="117"/>
      <c r="HD4" s="117"/>
      <c r="HE4" s="117"/>
      <c r="HF4" s="117"/>
      <c r="HG4" s="117"/>
      <c r="HH4" s="117"/>
      <c r="HI4" s="117"/>
      <c r="HJ4" s="117"/>
      <c r="HK4" s="117"/>
      <c r="HL4" s="117"/>
      <c r="HM4" s="117"/>
      <c r="HN4" s="117"/>
      <c r="HO4" s="117"/>
      <c r="HP4" s="117"/>
      <c r="HQ4" s="117"/>
      <c r="HR4" s="117"/>
      <c r="HS4" s="117"/>
      <c r="HT4" s="117"/>
      <c r="HU4" s="117"/>
      <c r="HV4" s="117"/>
      <c r="HW4" s="117"/>
      <c r="HX4" s="117"/>
      <c r="HY4" s="117"/>
      <c r="HZ4" s="117"/>
      <c r="IA4" s="117"/>
      <c r="IB4" s="117"/>
      <c r="IC4" s="117"/>
      <c r="ID4" s="117"/>
      <c r="IE4" s="117"/>
      <c r="IF4" s="117"/>
      <c r="IG4" s="117"/>
      <c r="IH4" s="117"/>
      <c r="II4" s="117"/>
      <c r="IJ4" s="117"/>
      <c r="IK4" s="117"/>
      <c r="IL4" s="117"/>
      <c r="IM4" s="117"/>
      <c r="IN4" s="117"/>
      <c r="IO4" s="117"/>
      <c r="IP4" s="117"/>
      <c r="IQ4" s="117"/>
      <c r="IR4" s="117"/>
      <c r="IS4" s="117"/>
      <c r="IT4" s="117"/>
      <c r="IU4" s="117"/>
      <c r="IV4" s="117"/>
      <c r="IW4" s="117"/>
      <c r="IX4" s="117"/>
      <c r="IY4" s="117"/>
      <c r="IZ4" s="117"/>
      <c r="JA4" s="117"/>
      <c r="JB4" s="117"/>
      <c r="JC4" s="117"/>
      <c r="JD4" s="117"/>
      <c r="JE4" s="117"/>
      <c r="JF4" s="117"/>
      <c r="JG4" s="117"/>
      <c r="JH4" s="117"/>
      <c r="JI4" s="117"/>
      <c r="JJ4" s="117"/>
      <c r="JK4" s="106"/>
    </row>
    <row r="5" spans="2:271" ht="15" customHeight="1" x14ac:dyDescent="0.2">
      <c r="B5" s="107"/>
      <c r="C5" s="299"/>
      <c r="D5" s="299"/>
      <c r="E5" s="299"/>
      <c r="F5" s="299"/>
      <c r="G5" s="299"/>
      <c r="H5" s="299"/>
      <c r="I5" s="181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  <c r="BA5" s="113"/>
      <c r="BB5" s="113"/>
      <c r="BC5" s="113"/>
      <c r="BD5" s="113"/>
      <c r="BE5" s="113"/>
      <c r="BF5" s="113"/>
      <c r="BG5" s="113"/>
      <c r="BH5" s="113"/>
      <c r="BI5" s="113"/>
      <c r="BJ5" s="113"/>
      <c r="BK5" s="113"/>
      <c r="BL5" s="113"/>
      <c r="BM5" s="113"/>
      <c r="BN5" s="113"/>
      <c r="BO5" s="113"/>
      <c r="BP5" s="113"/>
      <c r="BQ5" s="113"/>
      <c r="BR5" s="113"/>
      <c r="BS5" s="113"/>
      <c r="BT5" s="113"/>
      <c r="BU5" s="113"/>
      <c r="BV5" s="113"/>
      <c r="BW5" s="113"/>
      <c r="BX5" s="113"/>
      <c r="BY5" s="113"/>
      <c r="BZ5" s="113"/>
      <c r="CA5" s="113"/>
      <c r="CB5" s="113"/>
      <c r="CC5" s="113"/>
      <c r="CD5" s="113"/>
      <c r="CE5" s="113"/>
      <c r="CF5" s="113"/>
      <c r="CG5" s="113"/>
      <c r="CH5" s="113"/>
      <c r="CI5" s="113"/>
      <c r="CJ5" s="113"/>
      <c r="CK5" s="113"/>
      <c r="CL5" s="113"/>
      <c r="CM5" s="113"/>
      <c r="CN5" s="113"/>
      <c r="CO5" s="113"/>
      <c r="CP5" s="113"/>
      <c r="CQ5" s="113"/>
      <c r="CR5" s="113"/>
      <c r="CS5" s="113"/>
      <c r="CT5" s="113"/>
      <c r="CU5" s="113"/>
      <c r="CV5" s="113"/>
      <c r="CW5" s="113"/>
      <c r="CX5" s="113"/>
      <c r="CY5" s="113"/>
      <c r="CZ5" s="113"/>
      <c r="DA5" s="113"/>
      <c r="DB5" s="113"/>
      <c r="DC5" s="113"/>
      <c r="DD5" s="113"/>
      <c r="DE5" s="113"/>
      <c r="DF5" s="113"/>
      <c r="DG5" s="113"/>
      <c r="DH5" s="113"/>
      <c r="DI5" s="113"/>
      <c r="DJ5" s="113"/>
      <c r="DK5" s="113"/>
      <c r="DL5" s="113"/>
      <c r="DM5" s="113"/>
      <c r="DN5" s="113"/>
      <c r="DO5" s="113"/>
      <c r="DP5" s="113"/>
      <c r="DQ5" s="113"/>
      <c r="DR5" s="113"/>
      <c r="DS5" s="113"/>
      <c r="DT5" s="113"/>
      <c r="DU5" s="113"/>
      <c r="DV5" s="113"/>
      <c r="DW5" s="113"/>
      <c r="DX5" s="113"/>
      <c r="DY5" s="113"/>
      <c r="DZ5" s="113"/>
      <c r="EA5" s="113"/>
      <c r="EB5" s="113"/>
      <c r="EC5" s="113"/>
      <c r="ED5" s="113"/>
      <c r="EE5" s="113"/>
      <c r="EF5" s="113"/>
      <c r="EG5" s="113"/>
      <c r="EH5" s="113"/>
      <c r="EI5" s="113"/>
      <c r="EJ5" s="113"/>
      <c r="EK5" s="113"/>
      <c r="EL5" s="113"/>
      <c r="EM5" s="113"/>
      <c r="EN5" s="113"/>
      <c r="EO5" s="113"/>
      <c r="EP5" s="113"/>
      <c r="EQ5" s="113"/>
      <c r="ER5" s="113"/>
      <c r="ES5" s="113"/>
      <c r="ET5" s="113"/>
      <c r="EU5" s="113"/>
      <c r="EV5" s="113"/>
      <c r="EW5" s="113"/>
      <c r="EX5" s="113"/>
      <c r="EY5" s="113"/>
      <c r="EZ5" s="113"/>
      <c r="FA5" s="113"/>
      <c r="FB5" s="113"/>
      <c r="FC5" s="113"/>
      <c r="FD5" s="113"/>
      <c r="FE5" s="113"/>
      <c r="FF5" s="113"/>
      <c r="FG5" s="113"/>
      <c r="FH5" s="113"/>
      <c r="FI5" s="113"/>
      <c r="FJ5" s="113"/>
      <c r="FK5" s="113"/>
      <c r="FL5" s="113"/>
      <c r="FM5" s="113"/>
      <c r="FN5" s="113"/>
      <c r="FO5" s="113"/>
      <c r="FP5" s="113"/>
      <c r="FQ5" s="113"/>
      <c r="FR5" s="113"/>
      <c r="FS5" s="113"/>
      <c r="FT5" s="113"/>
      <c r="FU5" s="113"/>
      <c r="FV5" s="113"/>
      <c r="FW5" s="113"/>
      <c r="FX5" s="113"/>
      <c r="FY5" s="113"/>
      <c r="FZ5" s="113"/>
      <c r="GA5" s="113"/>
      <c r="GB5" s="113"/>
      <c r="GC5" s="113"/>
      <c r="GD5" s="113"/>
      <c r="GE5" s="113"/>
      <c r="GF5" s="113"/>
      <c r="GG5" s="113"/>
      <c r="GH5" s="113"/>
      <c r="GI5" s="113"/>
      <c r="GJ5" s="113"/>
      <c r="GK5" s="113"/>
      <c r="GL5" s="113"/>
      <c r="GM5" s="113"/>
      <c r="GN5" s="113"/>
      <c r="GO5" s="113"/>
      <c r="GP5" s="113"/>
      <c r="GQ5" s="113"/>
      <c r="GR5" s="113"/>
      <c r="GS5" s="113"/>
      <c r="GT5" s="113"/>
      <c r="GU5" s="113"/>
      <c r="GV5" s="113"/>
      <c r="GW5" s="113"/>
      <c r="GX5" s="113"/>
      <c r="GY5" s="113"/>
      <c r="GZ5" s="113"/>
      <c r="HA5" s="113"/>
      <c r="HB5" s="113"/>
      <c r="HC5" s="113"/>
      <c r="HD5" s="113"/>
      <c r="HE5" s="113"/>
      <c r="HF5" s="113"/>
      <c r="HG5" s="113"/>
      <c r="HH5" s="113"/>
      <c r="HI5" s="113"/>
      <c r="HJ5" s="113"/>
      <c r="HK5" s="113"/>
      <c r="HL5" s="113"/>
      <c r="HM5" s="113"/>
      <c r="HN5" s="113"/>
      <c r="HO5" s="113"/>
      <c r="HP5" s="113"/>
      <c r="HQ5" s="113"/>
      <c r="HR5" s="113"/>
      <c r="HS5" s="113"/>
      <c r="HT5" s="113"/>
      <c r="HU5" s="113"/>
      <c r="HV5" s="113"/>
      <c r="HW5" s="113"/>
      <c r="HX5" s="113"/>
      <c r="HY5" s="113"/>
      <c r="HZ5" s="113"/>
      <c r="IA5" s="113"/>
      <c r="IB5" s="113"/>
      <c r="IC5" s="113"/>
      <c r="ID5" s="113"/>
      <c r="IE5" s="113"/>
      <c r="IF5" s="113"/>
      <c r="IG5" s="113"/>
      <c r="IH5" s="113"/>
      <c r="II5" s="113"/>
      <c r="IJ5" s="113"/>
      <c r="IK5" s="113"/>
      <c r="IL5" s="113"/>
      <c r="IM5" s="113"/>
      <c r="IN5" s="113"/>
      <c r="IO5" s="113"/>
      <c r="IP5" s="113"/>
      <c r="IQ5" s="113"/>
      <c r="IR5" s="113"/>
      <c r="IS5" s="113"/>
      <c r="IT5" s="113"/>
      <c r="IU5" s="113"/>
      <c r="IV5" s="113"/>
      <c r="IW5" s="113"/>
      <c r="IX5" s="113"/>
      <c r="IY5" s="113"/>
      <c r="IZ5" s="113"/>
      <c r="JA5" s="113"/>
      <c r="JB5" s="113"/>
      <c r="JC5" s="113"/>
      <c r="JD5" s="113"/>
      <c r="JE5" s="113"/>
      <c r="JF5" s="113"/>
      <c r="JG5" s="113"/>
      <c r="JH5" s="113"/>
      <c r="JI5" s="113"/>
      <c r="JJ5" s="113"/>
      <c r="JK5" s="109"/>
    </row>
    <row r="6" spans="2:271" ht="15" customHeight="1" x14ac:dyDescent="0.2">
      <c r="B6" s="107"/>
      <c r="C6" s="299"/>
      <c r="D6" s="299"/>
      <c r="E6" s="299"/>
      <c r="F6" s="299"/>
      <c r="G6" s="299"/>
      <c r="H6" s="299"/>
      <c r="I6" s="181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3"/>
      <c r="CF6" s="113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3"/>
      <c r="DT6" s="113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3"/>
      <c r="FH6" s="113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3"/>
      <c r="GV6" s="113"/>
      <c r="GW6" s="113"/>
      <c r="GX6" s="113"/>
      <c r="GY6" s="113"/>
      <c r="GZ6" s="113"/>
      <c r="HA6" s="113"/>
      <c r="HB6" s="113"/>
      <c r="HC6" s="113"/>
      <c r="HD6" s="113"/>
      <c r="HE6" s="113"/>
      <c r="HF6" s="113"/>
      <c r="HG6" s="113"/>
      <c r="HH6" s="113"/>
      <c r="HI6" s="113"/>
      <c r="HJ6" s="113"/>
      <c r="HK6" s="113"/>
      <c r="HL6" s="113"/>
      <c r="HM6" s="113"/>
      <c r="HN6" s="113"/>
      <c r="HO6" s="113"/>
      <c r="HP6" s="113"/>
      <c r="HQ6" s="113"/>
      <c r="HR6" s="113"/>
      <c r="HS6" s="113"/>
      <c r="HT6" s="113"/>
      <c r="HU6" s="113"/>
      <c r="HV6" s="113"/>
      <c r="HW6" s="113"/>
      <c r="HX6" s="113"/>
      <c r="HY6" s="113"/>
      <c r="HZ6" s="113"/>
      <c r="IA6" s="113"/>
      <c r="IB6" s="113"/>
      <c r="IC6" s="113"/>
      <c r="ID6" s="113"/>
      <c r="IE6" s="113"/>
      <c r="IF6" s="113"/>
      <c r="IG6" s="113"/>
      <c r="IH6" s="113"/>
      <c r="II6" s="113"/>
      <c r="IJ6" s="113"/>
      <c r="IK6" s="113"/>
      <c r="IL6" s="113"/>
      <c r="IM6" s="113"/>
      <c r="IN6" s="113"/>
      <c r="IO6" s="113"/>
      <c r="IP6" s="113"/>
      <c r="IQ6" s="113"/>
      <c r="IR6" s="113"/>
      <c r="IS6" s="113"/>
      <c r="IT6" s="113"/>
      <c r="IU6" s="113"/>
      <c r="IV6" s="113"/>
      <c r="IW6" s="113"/>
      <c r="IX6" s="113"/>
      <c r="IY6" s="113"/>
      <c r="IZ6" s="113"/>
      <c r="JA6" s="113"/>
      <c r="JB6" s="113"/>
      <c r="JC6" s="113"/>
      <c r="JD6" s="113"/>
      <c r="JE6" s="113"/>
      <c r="JF6" s="113"/>
      <c r="JG6" s="113"/>
      <c r="JH6" s="113"/>
      <c r="JI6" s="113"/>
      <c r="JJ6" s="113"/>
      <c r="JK6" s="109"/>
    </row>
    <row r="7" spans="2:271" ht="15" customHeight="1" x14ac:dyDescent="0.2">
      <c r="B7" s="107"/>
      <c r="C7" s="299"/>
      <c r="D7" s="299"/>
      <c r="E7" s="299"/>
      <c r="F7" s="299"/>
      <c r="G7" s="299"/>
      <c r="H7" s="299"/>
      <c r="I7" s="181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  <c r="BA7" s="113"/>
      <c r="BB7" s="113"/>
      <c r="BC7" s="113"/>
      <c r="BD7" s="113"/>
      <c r="BE7" s="113"/>
      <c r="BF7" s="113"/>
      <c r="BG7" s="113"/>
      <c r="BH7" s="113"/>
      <c r="BI7" s="113"/>
      <c r="BJ7" s="113"/>
      <c r="BK7" s="113"/>
      <c r="BL7" s="113"/>
      <c r="BM7" s="113"/>
      <c r="BN7" s="113"/>
      <c r="BO7" s="113"/>
      <c r="BP7" s="113"/>
      <c r="BQ7" s="113"/>
      <c r="BR7" s="113"/>
      <c r="BS7" s="113"/>
      <c r="BT7" s="113"/>
      <c r="BU7" s="113"/>
      <c r="BV7" s="113"/>
      <c r="BW7" s="113"/>
      <c r="BX7" s="113"/>
      <c r="BY7" s="113"/>
      <c r="BZ7" s="113"/>
      <c r="CA7" s="113"/>
      <c r="CB7" s="113"/>
      <c r="CC7" s="113"/>
      <c r="CD7" s="113"/>
      <c r="CE7" s="113"/>
      <c r="CF7" s="113"/>
      <c r="CG7" s="113"/>
      <c r="CH7" s="113"/>
      <c r="CI7" s="113"/>
      <c r="CJ7" s="113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113"/>
      <c r="DH7" s="113"/>
      <c r="DI7" s="113"/>
      <c r="DJ7" s="113"/>
      <c r="DK7" s="113"/>
      <c r="DL7" s="113"/>
      <c r="DM7" s="113"/>
      <c r="DN7" s="113"/>
      <c r="DO7" s="113"/>
      <c r="DP7" s="113"/>
      <c r="DQ7" s="113"/>
      <c r="DR7" s="113"/>
      <c r="DS7" s="113"/>
      <c r="DT7" s="113"/>
      <c r="DU7" s="113"/>
      <c r="DV7" s="113"/>
      <c r="DW7" s="113"/>
      <c r="DX7" s="113"/>
      <c r="DY7" s="113"/>
      <c r="DZ7" s="113"/>
      <c r="EA7" s="113"/>
      <c r="EB7" s="113"/>
      <c r="EC7" s="113"/>
      <c r="ED7" s="113"/>
      <c r="EE7" s="113"/>
      <c r="EF7" s="113"/>
      <c r="EG7" s="113"/>
      <c r="EH7" s="113"/>
      <c r="EI7" s="113"/>
      <c r="EJ7" s="113"/>
      <c r="EK7" s="113"/>
      <c r="EL7" s="113"/>
      <c r="EM7" s="113"/>
      <c r="EN7" s="113"/>
      <c r="EO7" s="113"/>
      <c r="EP7" s="113"/>
      <c r="EQ7" s="113"/>
      <c r="ER7" s="113"/>
      <c r="ES7" s="113"/>
      <c r="ET7" s="113"/>
      <c r="EU7" s="113"/>
      <c r="EV7" s="113"/>
      <c r="EW7" s="113"/>
      <c r="EX7" s="113"/>
      <c r="EY7" s="113"/>
      <c r="EZ7" s="113"/>
      <c r="FA7" s="113"/>
      <c r="FB7" s="113"/>
      <c r="FC7" s="113"/>
      <c r="FD7" s="113"/>
      <c r="FE7" s="113"/>
      <c r="FF7" s="113"/>
      <c r="FG7" s="113"/>
      <c r="FH7" s="113"/>
      <c r="FI7" s="113"/>
      <c r="FJ7" s="113"/>
      <c r="FK7" s="113"/>
      <c r="FL7" s="113"/>
      <c r="FM7" s="113"/>
      <c r="FN7" s="113"/>
      <c r="FO7" s="113"/>
      <c r="FP7" s="113"/>
      <c r="FQ7" s="113"/>
      <c r="FR7" s="113"/>
      <c r="FS7" s="113"/>
      <c r="FT7" s="113"/>
      <c r="FU7" s="113"/>
      <c r="FV7" s="113"/>
      <c r="FW7" s="113"/>
      <c r="FX7" s="113"/>
      <c r="FY7" s="113"/>
      <c r="FZ7" s="113"/>
      <c r="GA7" s="113"/>
      <c r="GB7" s="113"/>
      <c r="GC7" s="113"/>
      <c r="GD7" s="113"/>
      <c r="GE7" s="113"/>
      <c r="GF7" s="113"/>
      <c r="GG7" s="113"/>
      <c r="GH7" s="113"/>
      <c r="GI7" s="113"/>
      <c r="GJ7" s="113"/>
      <c r="GK7" s="113"/>
      <c r="GL7" s="113"/>
      <c r="GM7" s="113"/>
      <c r="GN7" s="113"/>
      <c r="GO7" s="113"/>
      <c r="GP7" s="113"/>
      <c r="GQ7" s="113"/>
      <c r="GR7" s="113"/>
      <c r="GS7" s="113"/>
      <c r="GT7" s="113"/>
      <c r="GU7" s="113"/>
      <c r="GV7" s="113"/>
      <c r="GW7" s="113"/>
      <c r="GX7" s="113"/>
      <c r="GY7" s="113"/>
      <c r="GZ7" s="113"/>
      <c r="HA7" s="113"/>
      <c r="HB7" s="113"/>
      <c r="HC7" s="113"/>
      <c r="HD7" s="113"/>
      <c r="HE7" s="113"/>
      <c r="HF7" s="113"/>
      <c r="HG7" s="113"/>
      <c r="HH7" s="113"/>
      <c r="HI7" s="113"/>
      <c r="HJ7" s="113"/>
      <c r="HK7" s="113"/>
      <c r="HL7" s="113"/>
      <c r="HM7" s="113"/>
      <c r="HN7" s="113"/>
      <c r="HO7" s="113"/>
      <c r="HP7" s="113"/>
      <c r="HQ7" s="113"/>
      <c r="HR7" s="113"/>
      <c r="HS7" s="113"/>
      <c r="HT7" s="113"/>
      <c r="HU7" s="113"/>
      <c r="HV7" s="113"/>
      <c r="HW7" s="113"/>
      <c r="HX7" s="113"/>
      <c r="HY7" s="113"/>
      <c r="HZ7" s="113"/>
      <c r="IA7" s="113"/>
      <c r="IB7" s="113"/>
      <c r="IC7" s="113"/>
      <c r="ID7" s="113"/>
      <c r="IE7" s="113"/>
      <c r="IF7" s="113"/>
      <c r="IG7" s="113"/>
      <c r="IH7" s="113"/>
      <c r="II7" s="113"/>
      <c r="IJ7" s="113"/>
      <c r="IK7" s="113"/>
      <c r="IL7" s="113"/>
      <c r="IM7" s="113"/>
      <c r="IN7" s="113"/>
      <c r="IO7" s="113"/>
      <c r="IP7" s="113"/>
      <c r="IQ7" s="113"/>
      <c r="IR7" s="113"/>
      <c r="IS7" s="113"/>
      <c r="IT7" s="113"/>
      <c r="IU7" s="113"/>
      <c r="IV7" s="113"/>
      <c r="IW7" s="113"/>
      <c r="IX7" s="113"/>
      <c r="IY7" s="113"/>
      <c r="IZ7" s="113"/>
      <c r="JA7" s="113"/>
      <c r="JB7" s="113"/>
      <c r="JC7" s="113"/>
      <c r="JD7" s="113"/>
      <c r="JE7" s="113"/>
      <c r="JF7" s="113"/>
      <c r="JG7" s="113"/>
      <c r="JH7" s="113"/>
      <c r="JI7" s="113"/>
      <c r="JJ7" s="113"/>
      <c r="JK7" s="109"/>
    </row>
    <row r="8" spans="2:271" ht="16" customHeight="1" thickBot="1" x14ac:dyDescent="0.25">
      <c r="B8" s="107"/>
      <c r="C8" s="300"/>
      <c r="D8" s="300"/>
      <c r="E8" s="300"/>
      <c r="F8" s="300"/>
      <c r="G8" s="300"/>
      <c r="H8" s="300"/>
      <c r="I8" s="182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4"/>
      <c r="AW8" s="114"/>
      <c r="AX8" s="114"/>
      <c r="AY8" s="114"/>
      <c r="AZ8" s="114"/>
      <c r="BA8" s="114"/>
      <c r="BB8" s="114"/>
      <c r="BC8" s="114"/>
      <c r="BD8" s="114"/>
      <c r="BE8" s="114"/>
      <c r="BF8" s="114"/>
      <c r="BG8" s="114"/>
      <c r="BH8" s="114"/>
      <c r="BI8" s="114"/>
      <c r="BJ8" s="114"/>
      <c r="BK8" s="114"/>
      <c r="BL8" s="114"/>
      <c r="BM8" s="114"/>
      <c r="BN8" s="114"/>
      <c r="BO8" s="114"/>
      <c r="BP8" s="114"/>
      <c r="BQ8" s="114"/>
      <c r="BR8" s="114"/>
      <c r="BS8" s="114"/>
      <c r="BT8" s="114"/>
      <c r="BU8" s="114"/>
      <c r="BV8" s="114"/>
      <c r="BW8" s="114"/>
      <c r="BX8" s="114"/>
      <c r="BY8" s="114"/>
      <c r="BZ8" s="114"/>
      <c r="CA8" s="114"/>
      <c r="CB8" s="114"/>
      <c r="CC8" s="114"/>
      <c r="CD8" s="114"/>
      <c r="CE8" s="114"/>
      <c r="CF8" s="114"/>
      <c r="CG8" s="114"/>
      <c r="CH8" s="114"/>
      <c r="CI8" s="114"/>
      <c r="CJ8" s="114"/>
      <c r="CK8" s="114"/>
      <c r="CL8" s="114"/>
      <c r="CM8" s="114"/>
      <c r="CN8" s="114"/>
      <c r="CO8" s="114"/>
      <c r="CP8" s="114"/>
      <c r="CQ8" s="114"/>
      <c r="CR8" s="114"/>
      <c r="CS8" s="114"/>
      <c r="CT8" s="114"/>
      <c r="CU8" s="114"/>
      <c r="CV8" s="114"/>
      <c r="CW8" s="114"/>
      <c r="CX8" s="114"/>
      <c r="CY8" s="114"/>
      <c r="CZ8" s="114"/>
      <c r="DA8" s="114"/>
      <c r="DB8" s="114"/>
      <c r="DC8" s="114"/>
      <c r="DD8" s="114"/>
      <c r="DE8" s="114"/>
      <c r="DF8" s="114"/>
      <c r="DG8" s="114"/>
      <c r="DH8" s="114"/>
      <c r="DI8" s="114"/>
      <c r="DJ8" s="114"/>
      <c r="DK8" s="114"/>
      <c r="DL8" s="114"/>
      <c r="DM8" s="114"/>
      <c r="DN8" s="114"/>
      <c r="DO8" s="114"/>
      <c r="DP8" s="114"/>
      <c r="DQ8" s="114"/>
      <c r="DR8" s="114"/>
      <c r="DS8" s="114"/>
      <c r="DT8" s="114"/>
      <c r="DU8" s="114"/>
      <c r="DV8" s="114"/>
      <c r="DW8" s="114"/>
      <c r="DX8" s="114"/>
      <c r="DY8" s="114"/>
      <c r="DZ8" s="114"/>
      <c r="EA8" s="114"/>
      <c r="EB8" s="114"/>
      <c r="EC8" s="114"/>
      <c r="ED8" s="114"/>
      <c r="EE8" s="114"/>
      <c r="EF8" s="114"/>
      <c r="EG8" s="114"/>
      <c r="EH8" s="114"/>
      <c r="EI8" s="114"/>
      <c r="EJ8" s="114"/>
      <c r="EK8" s="114"/>
      <c r="EL8" s="114"/>
      <c r="EM8" s="114"/>
      <c r="EN8" s="114"/>
      <c r="EO8" s="114"/>
      <c r="EP8" s="114"/>
      <c r="EQ8" s="114"/>
      <c r="ER8" s="114"/>
      <c r="ES8" s="114"/>
      <c r="ET8" s="114"/>
      <c r="EU8" s="114"/>
      <c r="EV8" s="114"/>
      <c r="EW8" s="114"/>
      <c r="EX8" s="114"/>
      <c r="EY8" s="114"/>
      <c r="EZ8" s="114"/>
      <c r="FA8" s="114"/>
      <c r="FB8" s="114"/>
      <c r="FC8" s="114"/>
      <c r="FD8" s="114"/>
      <c r="FE8" s="114"/>
      <c r="FF8" s="114"/>
      <c r="FG8" s="114"/>
      <c r="FH8" s="114"/>
      <c r="FI8" s="114"/>
      <c r="FJ8" s="114"/>
      <c r="FK8" s="114"/>
      <c r="FL8" s="114"/>
      <c r="FM8" s="114"/>
      <c r="FN8" s="114"/>
      <c r="FO8" s="114"/>
      <c r="FP8" s="114"/>
      <c r="FQ8" s="114"/>
      <c r="FR8" s="114"/>
      <c r="FS8" s="114"/>
      <c r="FT8" s="114"/>
      <c r="FU8" s="114"/>
      <c r="FV8" s="114"/>
      <c r="FW8" s="114"/>
      <c r="FX8" s="114"/>
      <c r="FY8" s="114"/>
      <c r="FZ8" s="114"/>
      <c r="GA8" s="114"/>
      <c r="GB8" s="114"/>
      <c r="GC8" s="114"/>
      <c r="GD8" s="114"/>
      <c r="GE8" s="114"/>
      <c r="GF8" s="114"/>
      <c r="GG8" s="114"/>
      <c r="GH8" s="114"/>
      <c r="GI8" s="114"/>
      <c r="GJ8" s="114"/>
      <c r="GK8" s="114"/>
      <c r="GL8" s="114"/>
      <c r="GM8" s="114"/>
      <c r="GN8" s="114"/>
      <c r="GO8" s="114"/>
      <c r="GP8" s="114"/>
      <c r="GQ8" s="114"/>
      <c r="GR8" s="114"/>
      <c r="GS8" s="114"/>
      <c r="GT8" s="114"/>
      <c r="GU8" s="114"/>
      <c r="GV8" s="114"/>
      <c r="GW8" s="114"/>
      <c r="GX8" s="114"/>
      <c r="GY8" s="114"/>
      <c r="GZ8" s="114"/>
      <c r="HA8" s="114"/>
      <c r="HB8" s="114"/>
      <c r="HC8" s="114"/>
      <c r="HD8" s="114"/>
      <c r="HE8" s="114"/>
      <c r="HF8" s="114"/>
      <c r="HG8" s="114"/>
      <c r="HH8" s="114"/>
      <c r="HI8" s="114"/>
      <c r="HJ8" s="114"/>
      <c r="HK8" s="114"/>
      <c r="HL8" s="114"/>
      <c r="HM8" s="114"/>
      <c r="HN8" s="114"/>
      <c r="HO8" s="114"/>
      <c r="HP8" s="114"/>
      <c r="HQ8" s="114"/>
      <c r="HR8" s="114"/>
      <c r="HS8" s="114"/>
      <c r="HT8" s="114"/>
      <c r="HU8" s="114"/>
      <c r="HV8" s="114"/>
      <c r="HW8" s="114"/>
      <c r="HX8" s="114"/>
      <c r="HY8" s="114"/>
      <c r="HZ8" s="114"/>
      <c r="IA8" s="114"/>
      <c r="IB8" s="114"/>
      <c r="IC8" s="114"/>
      <c r="ID8" s="114"/>
      <c r="IE8" s="114"/>
      <c r="IF8" s="114"/>
      <c r="IG8" s="114"/>
      <c r="IH8" s="114"/>
      <c r="II8" s="114"/>
      <c r="IJ8" s="114"/>
      <c r="IK8" s="114"/>
      <c r="IL8" s="114"/>
      <c r="IM8" s="114"/>
      <c r="IN8" s="114"/>
      <c r="IO8" s="114"/>
      <c r="IP8" s="114"/>
      <c r="IQ8" s="114"/>
      <c r="IR8" s="114"/>
      <c r="IS8" s="114"/>
      <c r="IT8" s="114"/>
      <c r="IU8" s="114"/>
      <c r="IV8" s="114"/>
      <c r="IW8" s="114"/>
      <c r="IX8" s="114"/>
      <c r="IY8" s="114"/>
      <c r="IZ8" s="114"/>
      <c r="JA8" s="114"/>
      <c r="JB8" s="114"/>
      <c r="JC8" s="114"/>
      <c r="JD8" s="114"/>
      <c r="JE8" s="114"/>
      <c r="JF8" s="114"/>
      <c r="JG8" s="114"/>
      <c r="JH8" s="114"/>
      <c r="JI8" s="114"/>
      <c r="JJ8" s="114"/>
      <c r="JK8" s="109"/>
    </row>
    <row r="9" spans="2:271" ht="18" customHeight="1" thickTop="1" thickBot="1" x14ac:dyDescent="0.25">
      <c r="B9" s="107"/>
      <c r="C9" s="7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1"/>
      <c r="JK9" s="109"/>
    </row>
    <row r="10" spans="2:271" ht="16" customHeight="1" thickBot="1" x14ac:dyDescent="0.25">
      <c r="B10" s="107"/>
      <c r="C10" s="194" t="s">
        <v>32</v>
      </c>
      <c r="D10" s="195"/>
      <c r="E10" s="194" t="s">
        <v>44</v>
      </c>
      <c r="F10" s="195"/>
      <c r="G10" s="194" t="s">
        <v>45</v>
      </c>
      <c r="H10" s="195"/>
      <c r="I10" s="12"/>
      <c r="J10" s="124" t="str">
        <f t="shared" ref="J10:BU10" si="0">TEXT(J11,"DDD")</f>
        <v>Wed</v>
      </c>
      <c r="K10" s="124" t="str">
        <f t="shared" si="0"/>
        <v>Thu</v>
      </c>
      <c r="L10" s="124" t="str">
        <f t="shared" si="0"/>
        <v>Fri</v>
      </c>
      <c r="M10" s="124" t="str">
        <f t="shared" si="0"/>
        <v>Mon</v>
      </c>
      <c r="N10" s="124" t="str">
        <f t="shared" si="0"/>
        <v>Tue</v>
      </c>
      <c r="O10" s="124" t="str">
        <f t="shared" si="0"/>
        <v>Wed</v>
      </c>
      <c r="P10" s="124" t="str">
        <f t="shared" si="0"/>
        <v>Thu</v>
      </c>
      <c r="Q10" s="124" t="str">
        <f t="shared" si="0"/>
        <v>Fri</v>
      </c>
      <c r="R10" s="124" t="str">
        <f t="shared" si="0"/>
        <v>Mon</v>
      </c>
      <c r="S10" s="124" t="str">
        <f t="shared" si="0"/>
        <v>Tue</v>
      </c>
      <c r="T10" s="124" t="str">
        <f t="shared" si="0"/>
        <v>Wed</v>
      </c>
      <c r="U10" s="124" t="str">
        <f t="shared" si="0"/>
        <v>Thu</v>
      </c>
      <c r="V10" s="124" t="str">
        <f t="shared" si="0"/>
        <v>Fri</v>
      </c>
      <c r="W10" s="124" t="str">
        <f t="shared" si="0"/>
        <v>Mon</v>
      </c>
      <c r="X10" s="124" t="str">
        <f t="shared" si="0"/>
        <v>Tue</v>
      </c>
      <c r="Y10" s="124" t="str">
        <f t="shared" si="0"/>
        <v>Wed</v>
      </c>
      <c r="Z10" s="124" t="str">
        <f t="shared" si="0"/>
        <v>Thu</v>
      </c>
      <c r="AA10" s="124" t="str">
        <f t="shared" si="0"/>
        <v>Fri</v>
      </c>
      <c r="AB10" s="124" t="str">
        <f t="shared" si="0"/>
        <v>Mon</v>
      </c>
      <c r="AC10" s="124" t="str">
        <f t="shared" si="0"/>
        <v>Tue</v>
      </c>
      <c r="AD10" s="124" t="str">
        <f t="shared" si="0"/>
        <v>Wed</v>
      </c>
      <c r="AE10" s="124" t="str">
        <f t="shared" si="0"/>
        <v>Thu</v>
      </c>
      <c r="AF10" s="124" t="str">
        <f t="shared" si="0"/>
        <v>Fri</v>
      </c>
      <c r="AG10" s="124" t="str">
        <f t="shared" si="0"/>
        <v>Mon</v>
      </c>
      <c r="AH10" s="124" t="str">
        <f t="shared" si="0"/>
        <v>Tue</v>
      </c>
      <c r="AI10" s="124" t="str">
        <f t="shared" si="0"/>
        <v>Wed</v>
      </c>
      <c r="AJ10" s="124" t="str">
        <f t="shared" si="0"/>
        <v>Thu</v>
      </c>
      <c r="AK10" s="124" t="str">
        <f t="shared" si="0"/>
        <v>Fri</v>
      </c>
      <c r="AL10" s="124" t="str">
        <f t="shared" si="0"/>
        <v>Mon</v>
      </c>
      <c r="AM10" s="124" t="str">
        <f t="shared" si="0"/>
        <v>Tue</v>
      </c>
      <c r="AN10" s="124" t="str">
        <f t="shared" si="0"/>
        <v>Wed</v>
      </c>
      <c r="AO10" s="124" t="str">
        <f t="shared" si="0"/>
        <v>Thu</v>
      </c>
      <c r="AP10" s="124" t="str">
        <f t="shared" si="0"/>
        <v>Fri</v>
      </c>
      <c r="AQ10" s="124" t="str">
        <f t="shared" si="0"/>
        <v>Mon</v>
      </c>
      <c r="AR10" s="124" t="str">
        <f t="shared" si="0"/>
        <v>Tue</v>
      </c>
      <c r="AS10" s="124" t="str">
        <f t="shared" si="0"/>
        <v>Wed</v>
      </c>
      <c r="AT10" s="124" t="str">
        <f t="shared" si="0"/>
        <v>Thu</v>
      </c>
      <c r="AU10" s="124" t="str">
        <f t="shared" si="0"/>
        <v>Fri</v>
      </c>
      <c r="AV10" s="124" t="str">
        <f t="shared" si="0"/>
        <v>Mon</v>
      </c>
      <c r="AW10" s="124" t="str">
        <f t="shared" si="0"/>
        <v>Tue</v>
      </c>
      <c r="AX10" s="124" t="str">
        <f t="shared" si="0"/>
        <v>Wed</v>
      </c>
      <c r="AY10" s="124" t="str">
        <f t="shared" si="0"/>
        <v>Thu</v>
      </c>
      <c r="AZ10" s="124" t="str">
        <f t="shared" si="0"/>
        <v>Fri</v>
      </c>
      <c r="BA10" s="124" t="str">
        <f t="shared" si="0"/>
        <v>Mon</v>
      </c>
      <c r="BB10" s="124" t="str">
        <f t="shared" si="0"/>
        <v>Tue</v>
      </c>
      <c r="BC10" s="124" t="str">
        <f t="shared" si="0"/>
        <v>Wed</v>
      </c>
      <c r="BD10" s="124" t="str">
        <f t="shared" si="0"/>
        <v>Thu</v>
      </c>
      <c r="BE10" s="124" t="str">
        <f t="shared" si="0"/>
        <v>Fri</v>
      </c>
      <c r="BF10" s="124" t="str">
        <f t="shared" si="0"/>
        <v>Mon</v>
      </c>
      <c r="BG10" s="124" t="str">
        <f t="shared" si="0"/>
        <v>Tue</v>
      </c>
      <c r="BH10" s="124" t="str">
        <f t="shared" si="0"/>
        <v>Wed</v>
      </c>
      <c r="BI10" s="124" t="str">
        <f t="shared" si="0"/>
        <v>Thu</v>
      </c>
      <c r="BJ10" s="124" t="str">
        <f t="shared" si="0"/>
        <v>Fri</v>
      </c>
      <c r="BK10" s="124" t="str">
        <f t="shared" si="0"/>
        <v>Mon</v>
      </c>
      <c r="BL10" s="124" t="str">
        <f t="shared" si="0"/>
        <v>Tue</v>
      </c>
      <c r="BM10" s="124" t="str">
        <f t="shared" si="0"/>
        <v>Wed</v>
      </c>
      <c r="BN10" s="124" t="str">
        <f t="shared" si="0"/>
        <v>Thu</v>
      </c>
      <c r="BO10" s="124" t="str">
        <f t="shared" si="0"/>
        <v>Fri</v>
      </c>
      <c r="BP10" s="124" t="str">
        <f t="shared" si="0"/>
        <v>Mon</v>
      </c>
      <c r="BQ10" s="124" t="str">
        <f t="shared" si="0"/>
        <v>Tue</v>
      </c>
      <c r="BR10" s="124" t="str">
        <f t="shared" si="0"/>
        <v>Wed</v>
      </c>
      <c r="BS10" s="124" t="str">
        <f t="shared" si="0"/>
        <v>Thu</v>
      </c>
      <c r="BT10" s="124" t="str">
        <f t="shared" si="0"/>
        <v>Fri</v>
      </c>
      <c r="BU10" s="124" t="str">
        <f t="shared" si="0"/>
        <v>Mon</v>
      </c>
      <c r="BV10" s="124" t="str">
        <f t="shared" ref="BV10:EG10" si="1">TEXT(BV11,"DDD")</f>
        <v>Tue</v>
      </c>
      <c r="BW10" s="124" t="str">
        <f t="shared" si="1"/>
        <v>Wed</v>
      </c>
      <c r="BX10" s="124" t="str">
        <f t="shared" si="1"/>
        <v>Thu</v>
      </c>
      <c r="BY10" s="124" t="str">
        <f t="shared" si="1"/>
        <v>Fri</v>
      </c>
      <c r="BZ10" s="124" t="str">
        <f t="shared" si="1"/>
        <v>Mon</v>
      </c>
      <c r="CA10" s="124" t="str">
        <f t="shared" si="1"/>
        <v>Tue</v>
      </c>
      <c r="CB10" s="124" t="str">
        <f t="shared" si="1"/>
        <v>Wed</v>
      </c>
      <c r="CC10" s="124" t="str">
        <f t="shared" si="1"/>
        <v>Thu</v>
      </c>
      <c r="CD10" s="124" t="str">
        <f t="shared" si="1"/>
        <v>Fri</v>
      </c>
      <c r="CE10" s="124" t="str">
        <f t="shared" si="1"/>
        <v>Mon</v>
      </c>
      <c r="CF10" s="124" t="str">
        <f t="shared" si="1"/>
        <v>Tue</v>
      </c>
      <c r="CG10" s="124" t="str">
        <f t="shared" si="1"/>
        <v>Wed</v>
      </c>
      <c r="CH10" s="124" t="str">
        <f t="shared" si="1"/>
        <v>Thu</v>
      </c>
      <c r="CI10" s="124" t="str">
        <f t="shared" si="1"/>
        <v>Fri</v>
      </c>
      <c r="CJ10" s="124" t="str">
        <f t="shared" si="1"/>
        <v>Mon</v>
      </c>
      <c r="CK10" s="124" t="str">
        <f t="shared" si="1"/>
        <v>Tue</v>
      </c>
      <c r="CL10" s="124" t="str">
        <f t="shared" si="1"/>
        <v>Wed</v>
      </c>
      <c r="CM10" s="124" t="str">
        <f t="shared" si="1"/>
        <v>Thu</v>
      </c>
      <c r="CN10" s="124" t="str">
        <f t="shared" si="1"/>
        <v>Fri</v>
      </c>
      <c r="CO10" s="124" t="str">
        <f t="shared" si="1"/>
        <v>Mon</v>
      </c>
      <c r="CP10" s="124" t="str">
        <f t="shared" si="1"/>
        <v>Tue</v>
      </c>
      <c r="CQ10" s="124" t="str">
        <f t="shared" si="1"/>
        <v>Wed</v>
      </c>
      <c r="CR10" s="124" t="str">
        <f t="shared" si="1"/>
        <v>Thu</v>
      </c>
      <c r="CS10" s="124" t="str">
        <f t="shared" si="1"/>
        <v>Fri</v>
      </c>
      <c r="CT10" s="124" t="str">
        <f t="shared" si="1"/>
        <v>Mon</v>
      </c>
      <c r="CU10" s="124" t="str">
        <f t="shared" si="1"/>
        <v>Tue</v>
      </c>
      <c r="CV10" s="124" t="str">
        <f t="shared" si="1"/>
        <v>Wed</v>
      </c>
      <c r="CW10" s="124" t="str">
        <f t="shared" si="1"/>
        <v>Thu</v>
      </c>
      <c r="CX10" s="124" t="str">
        <f t="shared" si="1"/>
        <v>Fri</v>
      </c>
      <c r="CY10" s="124" t="str">
        <f t="shared" si="1"/>
        <v>Mon</v>
      </c>
      <c r="CZ10" s="124" t="str">
        <f t="shared" si="1"/>
        <v>Tue</v>
      </c>
      <c r="DA10" s="124" t="str">
        <f t="shared" si="1"/>
        <v>Wed</v>
      </c>
      <c r="DB10" s="124" t="str">
        <f t="shared" si="1"/>
        <v>Thu</v>
      </c>
      <c r="DC10" s="124" t="str">
        <f t="shared" si="1"/>
        <v>Fri</v>
      </c>
      <c r="DD10" s="124" t="str">
        <f t="shared" si="1"/>
        <v>Mon</v>
      </c>
      <c r="DE10" s="124" t="str">
        <f t="shared" si="1"/>
        <v>Tue</v>
      </c>
      <c r="DF10" s="124" t="str">
        <f t="shared" si="1"/>
        <v>Wed</v>
      </c>
      <c r="DG10" s="124" t="str">
        <f t="shared" si="1"/>
        <v>Thu</v>
      </c>
      <c r="DH10" s="124" t="str">
        <f t="shared" si="1"/>
        <v>Fri</v>
      </c>
      <c r="DI10" s="124" t="str">
        <f t="shared" si="1"/>
        <v>Mon</v>
      </c>
      <c r="DJ10" s="124" t="str">
        <f t="shared" si="1"/>
        <v>Tue</v>
      </c>
      <c r="DK10" s="124" t="str">
        <f t="shared" si="1"/>
        <v>Wed</v>
      </c>
      <c r="DL10" s="124" t="str">
        <f t="shared" si="1"/>
        <v>Thu</v>
      </c>
      <c r="DM10" s="124" t="str">
        <f t="shared" si="1"/>
        <v>Fri</v>
      </c>
      <c r="DN10" s="124" t="str">
        <f t="shared" si="1"/>
        <v>Mon</v>
      </c>
      <c r="DO10" s="124" t="str">
        <f t="shared" si="1"/>
        <v>Tue</v>
      </c>
      <c r="DP10" s="124" t="str">
        <f t="shared" si="1"/>
        <v>Wed</v>
      </c>
      <c r="DQ10" s="124" t="str">
        <f t="shared" si="1"/>
        <v>Thu</v>
      </c>
      <c r="DR10" s="124" t="str">
        <f t="shared" si="1"/>
        <v>Fri</v>
      </c>
      <c r="DS10" s="124" t="str">
        <f t="shared" si="1"/>
        <v>Mon</v>
      </c>
      <c r="DT10" s="124" t="str">
        <f t="shared" si="1"/>
        <v>Tue</v>
      </c>
      <c r="DU10" s="124" t="str">
        <f t="shared" si="1"/>
        <v>Wed</v>
      </c>
      <c r="DV10" s="124" t="str">
        <f t="shared" si="1"/>
        <v>Thu</v>
      </c>
      <c r="DW10" s="124" t="str">
        <f t="shared" si="1"/>
        <v>Fri</v>
      </c>
      <c r="DX10" s="124" t="str">
        <f t="shared" si="1"/>
        <v>Mon</v>
      </c>
      <c r="DY10" s="124" t="str">
        <f t="shared" si="1"/>
        <v>Tue</v>
      </c>
      <c r="DZ10" s="124" t="str">
        <f t="shared" si="1"/>
        <v>Wed</v>
      </c>
      <c r="EA10" s="124" t="str">
        <f t="shared" si="1"/>
        <v>Thu</v>
      </c>
      <c r="EB10" s="124" t="str">
        <f t="shared" si="1"/>
        <v>Fri</v>
      </c>
      <c r="EC10" s="124" t="str">
        <f t="shared" si="1"/>
        <v>Mon</v>
      </c>
      <c r="ED10" s="124" t="str">
        <f t="shared" si="1"/>
        <v>Tue</v>
      </c>
      <c r="EE10" s="124" t="str">
        <f t="shared" si="1"/>
        <v>Wed</v>
      </c>
      <c r="EF10" s="124" t="str">
        <f t="shared" si="1"/>
        <v>Thu</v>
      </c>
      <c r="EG10" s="124" t="str">
        <f t="shared" si="1"/>
        <v>Fri</v>
      </c>
      <c r="EH10" s="124" t="str">
        <f t="shared" ref="EH10:GS10" si="2">TEXT(EH11,"DDD")</f>
        <v>Mon</v>
      </c>
      <c r="EI10" s="124" t="str">
        <f t="shared" si="2"/>
        <v>Tue</v>
      </c>
      <c r="EJ10" s="124" t="str">
        <f t="shared" si="2"/>
        <v>Wed</v>
      </c>
      <c r="EK10" s="124" t="str">
        <f t="shared" si="2"/>
        <v>Thu</v>
      </c>
      <c r="EL10" s="124" t="str">
        <f t="shared" si="2"/>
        <v>Fri</v>
      </c>
      <c r="EM10" s="124" t="str">
        <f t="shared" si="2"/>
        <v>Mon</v>
      </c>
      <c r="EN10" s="124" t="str">
        <f t="shared" si="2"/>
        <v>Tue</v>
      </c>
      <c r="EO10" s="124" t="str">
        <f t="shared" si="2"/>
        <v>Wed</v>
      </c>
      <c r="EP10" s="124" t="str">
        <f t="shared" si="2"/>
        <v>Thu</v>
      </c>
      <c r="EQ10" s="124" t="str">
        <f t="shared" si="2"/>
        <v>Fri</v>
      </c>
      <c r="ER10" s="124" t="str">
        <f t="shared" si="2"/>
        <v>Mon</v>
      </c>
      <c r="ES10" s="124" t="str">
        <f t="shared" si="2"/>
        <v>Tue</v>
      </c>
      <c r="ET10" s="124" t="str">
        <f t="shared" si="2"/>
        <v>Wed</v>
      </c>
      <c r="EU10" s="124" t="str">
        <f t="shared" si="2"/>
        <v>Thu</v>
      </c>
      <c r="EV10" s="124" t="str">
        <f t="shared" si="2"/>
        <v>Fri</v>
      </c>
      <c r="EW10" s="124" t="str">
        <f t="shared" si="2"/>
        <v>Mon</v>
      </c>
      <c r="EX10" s="124" t="str">
        <f t="shared" si="2"/>
        <v>Tue</v>
      </c>
      <c r="EY10" s="124" t="str">
        <f t="shared" si="2"/>
        <v>Wed</v>
      </c>
      <c r="EZ10" s="124" t="str">
        <f t="shared" si="2"/>
        <v>Thu</v>
      </c>
      <c r="FA10" s="124" t="str">
        <f t="shared" si="2"/>
        <v>Fri</v>
      </c>
      <c r="FB10" s="124" t="str">
        <f t="shared" si="2"/>
        <v>Mon</v>
      </c>
      <c r="FC10" s="124" t="str">
        <f t="shared" si="2"/>
        <v>Tue</v>
      </c>
      <c r="FD10" s="124" t="str">
        <f t="shared" si="2"/>
        <v>Wed</v>
      </c>
      <c r="FE10" s="124" t="str">
        <f t="shared" si="2"/>
        <v>Thu</v>
      </c>
      <c r="FF10" s="124" t="str">
        <f t="shared" si="2"/>
        <v>Fri</v>
      </c>
      <c r="FG10" s="124" t="str">
        <f t="shared" si="2"/>
        <v>Mon</v>
      </c>
      <c r="FH10" s="124" t="str">
        <f t="shared" si="2"/>
        <v>Tue</v>
      </c>
      <c r="FI10" s="124" t="str">
        <f t="shared" si="2"/>
        <v>Wed</v>
      </c>
      <c r="FJ10" s="124" t="str">
        <f t="shared" si="2"/>
        <v>Thu</v>
      </c>
      <c r="FK10" s="124" t="str">
        <f t="shared" si="2"/>
        <v>Fri</v>
      </c>
      <c r="FL10" s="124" t="str">
        <f t="shared" si="2"/>
        <v>Mon</v>
      </c>
      <c r="FM10" s="124" t="str">
        <f t="shared" si="2"/>
        <v>Tue</v>
      </c>
      <c r="FN10" s="124" t="str">
        <f t="shared" si="2"/>
        <v>Wed</v>
      </c>
      <c r="FO10" s="124" t="str">
        <f t="shared" si="2"/>
        <v>Thu</v>
      </c>
      <c r="FP10" s="124" t="str">
        <f t="shared" si="2"/>
        <v>Fri</v>
      </c>
      <c r="FQ10" s="124" t="str">
        <f t="shared" si="2"/>
        <v>Mon</v>
      </c>
      <c r="FR10" s="124" t="str">
        <f t="shared" si="2"/>
        <v>Tue</v>
      </c>
      <c r="FS10" s="124" t="str">
        <f t="shared" si="2"/>
        <v>Wed</v>
      </c>
      <c r="FT10" s="124" t="str">
        <f t="shared" si="2"/>
        <v>Thu</v>
      </c>
      <c r="FU10" s="124" t="str">
        <f t="shared" si="2"/>
        <v>Fri</v>
      </c>
      <c r="FV10" s="124" t="str">
        <f t="shared" si="2"/>
        <v>Mon</v>
      </c>
      <c r="FW10" s="124" t="str">
        <f t="shared" si="2"/>
        <v>Tue</v>
      </c>
      <c r="FX10" s="124" t="str">
        <f t="shared" si="2"/>
        <v>Wed</v>
      </c>
      <c r="FY10" s="124" t="str">
        <f t="shared" si="2"/>
        <v>Thu</v>
      </c>
      <c r="FZ10" s="124" t="str">
        <f t="shared" si="2"/>
        <v>Fri</v>
      </c>
      <c r="GA10" s="124" t="str">
        <f t="shared" si="2"/>
        <v>Mon</v>
      </c>
      <c r="GB10" s="124" t="str">
        <f t="shared" si="2"/>
        <v>Tue</v>
      </c>
      <c r="GC10" s="124" t="str">
        <f t="shared" si="2"/>
        <v>Wed</v>
      </c>
      <c r="GD10" s="124" t="str">
        <f t="shared" si="2"/>
        <v>Thu</v>
      </c>
      <c r="GE10" s="124" t="str">
        <f t="shared" si="2"/>
        <v>Fri</v>
      </c>
      <c r="GF10" s="124" t="str">
        <f t="shared" si="2"/>
        <v>Mon</v>
      </c>
      <c r="GG10" s="124" t="str">
        <f t="shared" si="2"/>
        <v>Tue</v>
      </c>
      <c r="GH10" s="124" t="str">
        <f t="shared" si="2"/>
        <v>Wed</v>
      </c>
      <c r="GI10" s="124" t="str">
        <f t="shared" si="2"/>
        <v>Thu</v>
      </c>
      <c r="GJ10" s="124" t="str">
        <f t="shared" si="2"/>
        <v>Fri</v>
      </c>
      <c r="GK10" s="124" t="str">
        <f t="shared" si="2"/>
        <v>Mon</v>
      </c>
      <c r="GL10" s="124" t="str">
        <f t="shared" si="2"/>
        <v>Tue</v>
      </c>
      <c r="GM10" s="124" t="str">
        <f t="shared" si="2"/>
        <v>Wed</v>
      </c>
      <c r="GN10" s="124" t="str">
        <f t="shared" si="2"/>
        <v>Thu</v>
      </c>
      <c r="GO10" s="124" t="str">
        <f t="shared" si="2"/>
        <v>Fri</v>
      </c>
      <c r="GP10" s="124" t="str">
        <f t="shared" si="2"/>
        <v>Mon</v>
      </c>
      <c r="GQ10" s="124" t="str">
        <f t="shared" si="2"/>
        <v>Tue</v>
      </c>
      <c r="GR10" s="124" t="str">
        <f t="shared" si="2"/>
        <v>Wed</v>
      </c>
      <c r="GS10" s="124" t="str">
        <f t="shared" si="2"/>
        <v>Thu</v>
      </c>
      <c r="GT10" s="124" t="str">
        <f t="shared" ref="GT10:JE10" si="3">TEXT(GT11,"DDD")</f>
        <v>Fri</v>
      </c>
      <c r="GU10" s="124" t="str">
        <f t="shared" si="3"/>
        <v>Mon</v>
      </c>
      <c r="GV10" s="124" t="str">
        <f t="shared" si="3"/>
        <v>Tue</v>
      </c>
      <c r="GW10" s="124" t="str">
        <f t="shared" si="3"/>
        <v>Wed</v>
      </c>
      <c r="GX10" s="124" t="str">
        <f t="shared" si="3"/>
        <v>Thu</v>
      </c>
      <c r="GY10" s="124" t="str">
        <f t="shared" si="3"/>
        <v>Fri</v>
      </c>
      <c r="GZ10" s="124" t="str">
        <f t="shared" si="3"/>
        <v>Mon</v>
      </c>
      <c r="HA10" s="124" t="str">
        <f t="shared" si="3"/>
        <v>Tue</v>
      </c>
      <c r="HB10" s="124" t="str">
        <f t="shared" si="3"/>
        <v>Wed</v>
      </c>
      <c r="HC10" s="124" t="str">
        <f t="shared" si="3"/>
        <v>Thu</v>
      </c>
      <c r="HD10" s="124" t="str">
        <f t="shared" si="3"/>
        <v>Fri</v>
      </c>
      <c r="HE10" s="124" t="str">
        <f t="shared" si="3"/>
        <v>Mon</v>
      </c>
      <c r="HF10" s="124" t="str">
        <f t="shared" si="3"/>
        <v>Tue</v>
      </c>
      <c r="HG10" s="124" t="str">
        <f t="shared" si="3"/>
        <v>Wed</v>
      </c>
      <c r="HH10" s="124" t="str">
        <f t="shared" si="3"/>
        <v>Thu</v>
      </c>
      <c r="HI10" s="124" t="str">
        <f t="shared" si="3"/>
        <v>Fri</v>
      </c>
      <c r="HJ10" s="124" t="str">
        <f t="shared" si="3"/>
        <v>Mon</v>
      </c>
      <c r="HK10" s="124" t="str">
        <f t="shared" si="3"/>
        <v>Tue</v>
      </c>
      <c r="HL10" s="124" t="str">
        <f t="shared" si="3"/>
        <v>Wed</v>
      </c>
      <c r="HM10" s="124" t="str">
        <f t="shared" si="3"/>
        <v>Thu</v>
      </c>
      <c r="HN10" s="124" t="str">
        <f t="shared" si="3"/>
        <v>Fri</v>
      </c>
      <c r="HO10" s="124" t="str">
        <f t="shared" si="3"/>
        <v>Mon</v>
      </c>
      <c r="HP10" s="124" t="str">
        <f t="shared" si="3"/>
        <v>Tue</v>
      </c>
      <c r="HQ10" s="124" t="str">
        <f t="shared" si="3"/>
        <v>Wed</v>
      </c>
      <c r="HR10" s="124" t="str">
        <f t="shared" si="3"/>
        <v>Thu</v>
      </c>
      <c r="HS10" s="124" t="str">
        <f t="shared" si="3"/>
        <v>Fri</v>
      </c>
      <c r="HT10" s="124" t="str">
        <f t="shared" si="3"/>
        <v>Mon</v>
      </c>
      <c r="HU10" s="124" t="str">
        <f t="shared" si="3"/>
        <v>Tue</v>
      </c>
      <c r="HV10" s="124" t="str">
        <f t="shared" si="3"/>
        <v>Wed</v>
      </c>
      <c r="HW10" s="124" t="str">
        <f t="shared" si="3"/>
        <v>Thu</v>
      </c>
      <c r="HX10" s="124" t="str">
        <f t="shared" si="3"/>
        <v>Fri</v>
      </c>
      <c r="HY10" s="124" t="str">
        <f t="shared" si="3"/>
        <v>Mon</v>
      </c>
      <c r="HZ10" s="124" t="str">
        <f t="shared" si="3"/>
        <v>Tue</v>
      </c>
      <c r="IA10" s="124" t="str">
        <f t="shared" si="3"/>
        <v>Wed</v>
      </c>
      <c r="IB10" s="124" t="str">
        <f t="shared" si="3"/>
        <v>Thu</v>
      </c>
      <c r="IC10" s="124" t="str">
        <f t="shared" si="3"/>
        <v>Fri</v>
      </c>
      <c r="ID10" s="124" t="str">
        <f t="shared" si="3"/>
        <v>Mon</v>
      </c>
      <c r="IE10" s="124" t="str">
        <f t="shared" si="3"/>
        <v>Tue</v>
      </c>
      <c r="IF10" s="124" t="str">
        <f t="shared" si="3"/>
        <v>Wed</v>
      </c>
      <c r="IG10" s="124" t="str">
        <f t="shared" si="3"/>
        <v>Thu</v>
      </c>
      <c r="IH10" s="124" t="str">
        <f t="shared" si="3"/>
        <v>Fri</v>
      </c>
      <c r="II10" s="124" t="str">
        <f t="shared" si="3"/>
        <v>Mon</v>
      </c>
      <c r="IJ10" s="124" t="str">
        <f t="shared" si="3"/>
        <v>Tue</v>
      </c>
      <c r="IK10" s="124" t="str">
        <f t="shared" si="3"/>
        <v>Wed</v>
      </c>
      <c r="IL10" s="124" t="str">
        <f t="shared" si="3"/>
        <v>Thu</v>
      </c>
      <c r="IM10" s="124" t="str">
        <f t="shared" si="3"/>
        <v>Fri</v>
      </c>
      <c r="IN10" s="124" t="str">
        <f t="shared" si="3"/>
        <v>Mon</v>
      </c>
      <c r="IO10" s="124" t="str">
        <f t="shared" si="3"/>
        <v>Tue</v>
      </c>
      <c r="IP10" s="124" t="str">
        <f t="shared" si="3"/>
        <v>Wed</v>
      </c>
      <c r="IQ10" s="124" t="str">
        <f t="shared" si="3"/>
        <v>Thu</v>
      </c>
      <c r="IR10" s="124" t="str">
        <f t="shared" si="3"/>
        <v>Fri</v>
      </c>
      <c r="IS10" s="124" t="str">
        <f t="shared" si="3"/>
        <v>Mon</v>
      </c>
      <c r="IT10" s="124" t="str">
        <f t="shared" si="3"/>
        <v>Tue</v>
      </c>
      <c r="IU10" s="124" t="str">
        <f t="shared" si="3"/>
        <v>Wed</v>
      </c>
      <c r="IV10" s="124" t="str">
        <f t="shared" si="3"/>
        <v>Thu</v>
      </c>
      <c r="IW10" s="124" t="str">
        <f t="shared" si="3"/>
        <v>Fri</v>
      </c>
      <c r="IX10" s="124" t="str">
        <f t="shared" si="3"/>
        <v>Mon</v>
      </c>
      <c r="IY10" s="124" t="str">
        <f t="shared" si="3"/>
        <v>Tue</v>
      </c>
      <c r="IZ10" s="124" t="str">
        <f t="shared" si="3"/>
        <v>Wed</v>
      </c>
      <c r="JA10" s="124" t="str">
        <f t="shared" si="3"/>
        <v>Thu</v>
      </c>
      <c r="JB10" s="124" t="str">
        <f t="shared" si="3"/>
        <v>Fri</v>
      </c>
      <c r="JC10" s="124" t="str">
        <f t="shared" si="3"/>
        <v>Mon</v>
      </c>
      <c r="JD10" s="124" t="str">
        <f t="shared" si="3"/>
        <v>Tue</v>
      </c>
      <c r="JE10" s="124" t="str">
        <f t="shared" si="3"/>
        <v>Wed</v>
      </c>
      <c r="JF10" s="124" t="str">
        <f t="shared" ref="JF10:JJ10" si="4">TEXT(JF11,"DDD")</f>
        <v>Thu</v>
      </c>
      <c r="JG10" s="124" t="str">
        <f t="shared" si="4"/>
        <v>Fri</v>
      </c>
      <c r="JH10" s="124" t="str">
        <f t="shared" si="4"/>
        <v>Mon</v>
      </c>
      <c r="JI10" s="124" t="str">
        <f t="shared" si="4"/>
        <v>Tue</v>
      </c>
      <c r="JJ10" s="124" t="str">
        <f t="shared" si="4"/>
        <v>Wed</v>
      </c>
      <c r="JK10" s="109"/>
    </row>
    <row r="11" spans="2:271" ht="16" customHeight="1" thickBot="1" x14ac:dyDescent="0.25">
      <c r="B11" s="107"/>
      <c r="C11" s="196"/>
      <c r="D11" s="197"/>
      <c r="E11" s="196"/>
      <c r="F11" s="197"/>
      <c r="G11" s="196"/>
      <c r="H11" s="197"/>
      <c r="I11" s="14"/>
      <c r="J11" s="184">
        <v>45658</v>
      </c>
      <c r="K11" s="184">
        <f>IF(TEXT(J11,"DDD")="Sat",J11+3,IF(TEXT(J11,"DDD")="Sun",J11+2,J11+1))</f>
        <v>45659</v>
      </c>
      <c r="L11" s="184">
        <f>IF(TEXT(K11,"DDD")="Sat",K11+3,IF(TEXT(K11,"DDD")="Sun",K11+2,K11+1))</f>
        <v>45660</v>
      </c>
      <c r="M11" s="184">
        <f t="shared" ref="M11:BX11" si="5">IF(TEXT(L11,"DDD")="Fri",L11+3,IF(TEXT(L11,"DDD")="Sat",L11+2,L11+1))</f>
        <v>45663</v>
      </c>
      <c r="N11" s="184">
        <f t="shared" si="5"/>
        <v>45664</v>
      </c>
      <c r="O11" s="184">
        <f t="shared" si="5"/>
        <v>45665</v>
      </c>
      <c r="P11" s="184">
        <f t="shared" si="5"/>
        <v>45666</v>
      </c>
      <c r="Q11" s="184">
        <f t="shared" si="5"/>
        <v>45667</v>
      </c>
      <c r="R11" s="184">
        <f t="shared" si="5"/>
        <v>45670</v>
      </c>
      <c r="S11" s="184">
        <f t="shared" si="5"/>
        <v>45671</v>
      </c>
      <c r="T11" s="184">
        <f t="shared" si="5"/>
        <v>45672</v>
      </c>
      <c r="U11" s="184">
        <f t="shared" si="5"/>
        <v>45673</v>
      </c>
      <c r="V11" s="184">
        <f t="shared" si="5"/>
        <v>45674</v>
      </c>
      <c r="W11" s="184">
        <f t="shared" si="5"/>
        <v>45677</v>
      </c>
      <c r="X11" s="184">
        <f t="shared" si="5"/>
        <v>45678</v>
      </c>
      <c r="Y11" s="184">
        <f t="shared" si="5"/>
        <v>45679</v>
      </c>
      <c r="Z11" s="184">
        <f t="shared" si="5"/>
        <v>45680</v>
      </c>
      <c r="AA11" s="184">
        <f t="shared" si="5"/>
        <v>45681</v>
      </c>
      <c r="AB11" s="184">
        <f t="shared" si="5"/>
        <v>45684</v>
      </c>
      <c r="AC11" s="184">
        <f t="shared" si="5"/>
        <v>45685</v>
      </c>
      <c r="AD11" s="184">
        <f t="shared" si="5"/>
        <v>45686</v>
      </c>
      <c r="AE11" s="184">
        <f t="shared" si="5"/>
        <v>45687</v>
      </c>
      <c r="AF11" s="184">
        <f t="shared" si="5"/>
        <v>45688</v>
      </c>
      <c r="AG11" s="184">
        <f t="shared" si="5"/>
        <v>45691</v>
      </c>
      <c r="AH11" s="184">
        <f t="shared" si="5"/>
        <v>45692</v>
      </c>
      <c r="AI11" s="184">
        <f t="shared" si="5"/>
        <v>45693</v>
      </c>
      <c r="AJ11" s="184">
        <f t="shared" si="5"/>
        <v>45694</v>
      </c>
      <c r="AK11" s="184">
        <f t="shared" si="5"/>
        <v>45695</v>
      </c>
      <c r="AL11" s="184">
        <f t="shared" si="5"/>
        <v>45698</v>
      </c>
      <c r="AM11" s="184">
        <f t="shared" si="5"/>
        <v>45699</v>
      </c>
      <c r="AN11" s="184">
        <f t="shared" si="5"/>
        <v>45700</v>
      </c>
      <c r="AO11" s="184">
        <f t="shared" si="5"/>
        <v>45701</v>
      </c>
      <c r="AP11" s="184">
        <f t="shared" si="5"/>
        <v>45702</v>
      </c>
      <c r="AQ11" s="184">
        <f t="shared" si="5"/>
        <v>45705</v>
      </c>
      <c r="AR11" s="184">
        <f t="shared" si="5"/>
        <v>45706</v>
      </c>
      <c r="AS11" s="184">
        <f t="shared" si="5"/>
        <v>45707</v>
      </c>
      <c r="AT11" s="184">
        <f t="shared" si="5"/>
        <v>45708</v>
      </c>
      <c r="AU11" s="184">
        <f t="shared" si="5"/>
        <v>45709</v>
      </c>
      <c r="AV11" s="184">
        <f t="shared" si="5"/>
        <v>45712</v>
      </c>
      <c r="AW11" s="184">
        <f t="shared" si="5"/>
        <v>45713</v>
      </c>
      <c r="AX11" s="184">
        <f t="shared" si="5"/>
        <v>45714</v>
      </c>
      <c r="AY11" s="184">
        <f t="shared" si="5"/>
        <v>45715</v>
      </c>
      <c r="AZ11" s="184">
        <f t="shared" si="5"/>
        <v>45716</v>
      </c>
      <c r="BA11" s="184">
        <f t="shared" si="5"/>
        <v>45719</v>
      </c>
      <c r="BB11" s="184">
        <f t="shared" si="5"/>
        <v>45720</v>
      </c>
      <c r="BC11" s="184">
        <f t="shared" si="5"/>
        <v>45721</v>
      </c>
      <c r="BD11" s="184">
        <f t="shared" si="5"/>
        <v>45722</v>
      </c>
      <c r="BE11" s="184">
        <f t="shared" si="5"/>
        <v>45723</v>
      </c>
      <c r="BF11" s="184">
        <f t="shared" si="5"/>
        <v>45726</v>
      </c>
      <c r="BG11" s="184">
        <f t="shared" si="5"/>
        <v>45727</v>
      </c>
      <c r="BH11" s="184">
        <f t="shared" si="5"/>
        <v>45728</v>
      </c>
      <c r="BI11" s="184">
        <f t="shared" si="5"/>
        <v>45729</v>
      </c>
      <c r="BJ11" s="184">
        <f t="shared" si="5"/>
        <v>45730</v>
      </c>
      <c r="BK11" s="184">
        <f t="shared" si="5"/>
        <v>45733</v>
      </c>
      <c r="BL11" s="184">
        <f t="shared" si="5"/>
        <v>45734</v>
      </c>
      <c r="BM11" s="184">
        <f t="shared" si="5"/>
        <v>45735</v>
      </c>
      <c r="BN11" s="184">
        <f t="shared" si="5"/>
        <v>45736</v>
      </c>
      <c r="BO11" s="184">
        <f t="shared" si="5"/>
        <v>45737</v>
      </c>
      <c r="BP11" s="184">
        <f t="shared" si="5"/>
        <v>45740</v>
      </c>
      <c r="BQ11" s="184">
        <f t="shared" si="5"/>
        <v>45741</v>
      </c>
      <c r="BR11" s="184">
        <f t="shared" si="5"/>
        <v>45742</v>
      </c>
      <c r="BS11" s="184">
        <f t="shared" si="5"/>
        <v>45743</v>
      </c>
      <c r="BT11" s="184">
        <f t="shared" si="5"/>
        <v>45744</v>
      </c>
      <c r="BU11" s="184">
        <f t="shared" si="5"/>
        <v>45747</v>
      </c>
      <c r="BV11" s="184">
        <f t="shared" si="5"/>
        <v>45748</v>
      </c>
      <c r="BW11" s="184">
        <f t="shared" si="5"/>
        <v>45749</v>
      </c>
      <c r="BX11" s="184">
        <f t="shared" si="5"/>
        <v>45750</v>
      </c>
      <c r="BY11" s="184">
        <f t="shared" ref="BY11:EJ11" si="6">IF(TEXT(BX11,"DDD")="Fri",BX11+3,IF(TEXT(BX11,"DDD")="Sat",BX11+2,BX11+1))</f>
        <v>45751</v>
      </c>
      <c r="BZ11" s="184">
        <f t="shared" si="6"/>
        <v>45754</v>
      </c>
      <c r="CA11" s="184">
        <f t="shared" si="6"/>
        <v>45755</v>
      </c>
      <c r="CB11" s="184">
        <f t="shared" si="6"/>
        <v>45756</v>
      </c>
      <c r="CC11" s="184">
        <f t="shared" si="6"/>
        <v>45757</v>
      </c>
      <c r="CD11" s="184">
        <f t="shared" si="6"/>
        <v>45758</v>
      </c>
      <c r="CE11" s="184">
        <f t="shared" si="6"/>
        <v>45761</v>
      </c>
      <c r="CF11" s="184">
        <f t="shared" si="6"/>
        <v>45762</v>
      </c>
      <c r="CG11" s="184">
        <f t="shared" si="6"/>
        <v>45763</v>
      </c>
      <c r="CH11" s="184">
        <f t="shared" si="6"/>
        <v>45764</v>
      </c>
      <c r="CI11" s="184">
        <f t="shared" si="6"/>
        <v>45765</v>
      </c>
      <c r="CJ11" s="184">
        <f t="shared" si="6"/>
        <v>45768</v>
      </c>
      <c r="CK11" s="184">
        <f t="shared" si="6"/>
        <v>45769</v>
      </c>
      <c r="CL11" s="184">
        <f t="shared" si="6"/>
        <v>45770</v>
      </c>
      <c r="CM11" s="184">
        <f t="shared" si="6"/>
        <v>45771</v>
      </c>
      <c r="CN11" s="184">
        <f t="shared" si="6"/>
        <v>45772</v>
      </c>
      <c r="CO11" s="184">
        <f t="shared" si="6"/>
        <v>45775</v>
      </c>
      <c r="CP11" s="184">
        <f t="shared" si="6"/>
        <v>45776</v>
      </c>
      <c r="CQ11" s="184">
        <f t="shared" si="6"/>
        <v>45777</v>
      </c>
      <c r="CR11" s="184">
        <f t="shared" si="6"/>
        <v>45778</v>
      </c>
      <c r="CS11" s="184">
        <f t="shared" si="6"/>
        <v>45779</v>
      </c>
      <c r="CT11" s="184">
        <f t="shared" si="6"/>
        <v>45782</v>
      </c>
      <c r="CU11" s="184">
        <f t="shared" si="6"/>
        <v>45783</v>
      </c>
      <c r="CV11" s="184">
        <f t="shared" si="6"/>
        <v>45784</v>
      </c>
      <c r="CW11" s="184">
        <f t="shared" si="6"/>
        <v>45785</v>
      </c>
      <c r="CX11" s="184">
        <f t="shared" si="6"/>
        <v>45786</v>
      </c>
      <c r="CY11" s="184">
        <f t="shared" si="6"/>
        <v>45789</v>
      </c>
      <c r="CZ11" s="184">
        <f t="shared" si="6"/>
        <v>45790</v>
      </c>
      <c r="DA11" s="184">
        <f t="shared" si="6"/>
        <v>45791</v>
      </c>
      <c r="DB11" s="184">
        <f t="shared" si="6"/>
        <v>45792</v>
      </c>
      <c r="DC11" s="184">
        <f t="shared" si="6"/>
        <v>45793</v>
      </c>
      <c r="DD11" s="184">
        <f t="shared" si="6"/>
        <v>45796</v>
      </c>
      <c r="DE11" s="184">
        <f t="shared" si="6"/>
        <v>45797</v>
      </c>
      <c r="DF11" s="184">
        <f t="shared" si="6"/>
        <v>45798</v>
      </c>
      <c r="DG11" s="184">
        <f t="shared" si="6"/>
        <v>45799</v>
      </c>
      <c r="DH11" s="184">
        <f t="shared" si="6"/>
        <v>45800</v>
      </c>
      <c r="DI11" s="184">
        <f t="shared" si="6"/>
        <v>45803</v>
      </c>
      <c r="DJ11" s="184">
        <f t="shared" si="6"/>
        <v>45804</v>
      </c>
      <c r="DK11" s="184">
        <f t="shared" si="6"/>
        <v>45805</v>
      </c>
      <c r="DL11" s="184">
        <f t="shared" si="6"/>
        <v>45806</v>
      </c>
      <c r="DM11" s="184">
        <f t="shared" si="6"/>
        <v>45807</v>
      </c>
      <c r="DN11" s="184">
        <f t="shared" si="6"/>
        <v>45810</v>
      </c>
      <c r="DO11" s="184">
        <f t="shared" si="6"/>
        <v>45811</v>
      </c>
      <c r="DP11" s="184">
        <f t="shared" si="6"/>
        <v>45812</v>
      </c>
      <c r="DQ11" s="184">
        <f t="shared" si="6"/>
        <v>45813</v>
      </c>
      <c r="DR11" s="184">
        <f t="shared" si="6"/>
        <v>45814</v>
      </c>
      <c r="DS11" s="184">
        <f t="shared" si="6"/>
        <v>45817</v>
      </c>
      <c r="DT11" s="184">
        <f t="shared" si="6"/>
        <v>45818</v>
      </c>
      <c r="DU11" s="184">
        <f t="shared" si="6"/>
        <v>45819</v>
      </c>
      <c r="DV11" s="184">
        <f t="shared" si="6"/>
        <v>45820</v>
      </c>
      <c r="DW11" s="184">
        <f t="shared" si="6"/>
        <v>45821</v>
      </c>
      <c r="DX11" s="184">
        <f t="shared" si="6"/>
        <v>45824</v>
      </c>
      <c r="DY11" s="184">
        <f t="shared" si="6"/>
        <v>45825</v>
      </c>
      <c r="DZ11" s="184">
        <f t="shared" si="6"/>
        <v>45826</v>
      </c>
      <c r="EA11" s="184">
        <f t="shared" si="6"/>
        <v>45827</v>
      </c>
      <c r="EB11" s="184">
        <f t="shared" si="6"/>
        <v>45828</v>
      </c>
      <c r="EC11" s="184">
        <f t="shared" si="6"/>
        <v>45831</v>
      </c>
      <c r="ED11" s="184">
        <f t="shared" si="6"/>
        <v>45832</v>
      </c>
      <c r="EE11" s="184">
        <f t="shared" si="6"/>
        <v>45833</v>
      </c>
      <c r="EF11" s="184">
        <f t="shared" si="6"/>
        <v>45834</v>
      </c>
      <c r="EG11" s="184">
        <f t="shared" si="6"/>
        <v>45835</v>
      </c>
      <c r="EH11" s="184">
        <f t="shared" si="6"/>
        <v>45838</v>
      </c>
      <c r="EI11" s="184">
        <f t="shared" si="6"/>
        <v>45839</v>
      </c>
      <c r="EJ11" s="184">
        <f t="shared" si="6"/>
        <v>45840</v>
      </c>
      <c r="EK11" s="184">
        <f t="shared" ref="EK11:EP11" si="7">IF(TEXT(EJ11,"DDD")="Fri",EJ11+3,IF(TEXT(EJ11,"DDD")="Sat",EJ11+2,EJ11+1))</f>
        <v>45841</v>
      </c>
      <c r="EL11" s="184">
        <f t="shared" si="7"/>
        <v>45842</v>
      </c>
      <c r="EM11" s="184">
        <f t="shared" si="7"/>
        <v>45845</v>
      </c>
      <c r="EN11" s="184">
        <f t="shared" si="7"/>
        <v>45846</v>
      </c>
      <c r="EO11" s="184">
        <f t="shared" si="7"/>
        <v>45847</v>
      </c>
      <c r="EP11" s="184">
        <f t="shared" si="7"/>
        <v>45848</v>
      </c>
      <c r="EQ11" s="184">
        <f>IF(TEXT(EP11,"DDD")="Fri",EP11+3,IF(TEXT(EP11,"DDD")="Sat",EP11+2,EP11+1))</f>
        <v>45849</v>
      </c>
      <c r="ER11" s="184">
        <f t="shared" ref="ER11:FS11" si="8">IF(TEXT(EQ11,"DDD")="Fri",EQ11+3,IF(TEXT(EQ11,"DDD")="Sat",EQ11+2,EQ11+1))</f>
        <v>45852</v>
      </c>
      <c r="ES11" s="184">
        <f t="shared" si="8"/>
        <v>45853</v>
      </c>
      <c r="ET11" s="184">
        <f t="shared" si="8"/>
        <v>45854</v>
      </c>
      <c r="EU11" s="184">
        <f t="shared" si="8"/>
        <v>45855</v>
      </c>
      <c r="EV11" s="184">
        <f t="shared" si="8"/>
        <v>45856</v>
      </c>
      <c r="EW11" s="184">
        <f t="shared" si="8"/>
        <v>45859</v>
      </c>
      <c r="EX11" s="184">
        <f t="shared" si="8"/>
        <v>45860</v>
      </c>
      <c r="EY11" s="184">
        <f t="shared" si="8"/>
        <v>45861</v>
      </c>
      <c r="EZ11" s="184">
        <f t="shared" si="8"/>
        <v>45862</v>
      </c>
      <c r="FA11" s="184">
        <f t="shared" si="8"/>
        <v>45863</v>
      </c>
      <c r="FB11" s="184">
        <f t="shared" si="8"/>
        <v>45866</v>
      </c>
      <c r="FC11" s="184">
        <f t="shared" si="8"/>
        <v>45867</v>
      </c>
      <c r="FD11" s="184">
        <f t="shared" si="8"/>
        <v>45868</v>
      </c>
      <c r="FE11" s="184">
        <f t="shared" si="8"/>
        <v>45869</v>
      </c>
      <c r="FF11" s="184">
        <f t="shared" si="8"/>
        <v>45870</v>
      </c>
      <c r="FG11" s="184">
        <f t="shared" si="8"/>
        <v>45873</v>
      </c>
      <c r="FH11" s="184">
        <f t="shared" si="8"/>
        <v>45874</v>
      </c>
      <c r="FI11" s="184">
        <f t="shared" si="8"/>
        <v>45875</v>
      </c>
      <c r="FJ11" s="184">
        <f t="shared" si="8"/>
        <v>45876</v>
      </c>
      <c r="FK11" s="184">
        <f t="shared" si="8"/>
        <v>45877</v>
      </c>
      <c r="FL11" s="184">
        <f t="shared" si="8"/>
        <v>45880</v>
      </c>
      <c r="FM11" s="184">
        <f t="shared" si="8"/>
        <v>45881</v>
      </c>
      <c r="FN11" s="184">
        <f t="shared" si="8"/>
        <v>45882</v>
      </c>
      <c r="FO11" s="184">
        <f t="shared" si="8"/>
        <v>45883</v>
      </c>
      <c r="FP11" s="184">
        <f t="shared" si="8"/>
        <v>45884</v>
      </c>
      <c r="FQ11" s="184">
        <f t="shared" si="8"/>
        <v>45887</v>
      </c>
      <c r="FR11" s="184">
        <f t="shared" si="8"/>
        <v>45888</v>
      </c>
      <c r="FS11" s="184">
        <f t="shared" si="8"/>
        <v>45889</v>
      </c>
      <c r="FT11" s="184">
        <f>IF(TEXT(FS11,"DDD")="Fri",FS11+3,IF(TEXT(FS11,"DDD")="Sat",FS11+2,FS11+1))</f>
        <v>45890</v>
      </c>
      <c r="FU11" s="184">
        <f t="shared" ref="FU11:IF11" si="9">IF(TEXT(FT11,"DDD")="Fri",FT11+3,IF(TEXT(FT11,"DDD")="Sat",FT11+2,FT11+1))</f>
        <v>45891</v>
      </c>
      <c r="FV11" s="184">
        <f t="shared" si="9"/>
        <v>45894</v>
      </c>
      <c r="FW11" s="184">
        <f t="shared" si="9"/>
        <v>45895</v>
      </c>
      <c r="FX11" s="184">
        <f t="shared" si="9"/>
        <v>45896</v>
      </c>
      <c r="FY11" s="184">
        <f t="shared" si="9"/>
        <v>45897</v>
      </c>
      <c r="FZ11" s="184">
        <f t="shared" si="9"/>
        <v>45898</v>
      </c>
      <c r="GA11" s="184">
        <f t="shared" si="9"/>
        <v>45901</v>
      </c>
      <c r="GB11" s="184">
        <f t="shared" si="9"/>
        <v>45902</v>
      </c>
      <c r="GC11" s="184">
        <f t="shared" si="9"/>
        <v>45903</v>
      </c>
      <c r="GD11" s="184">
        <f t="shared" si="9"/>
        <v>45904</v>
      </c>
      <c r="GE11" s="184">
        <f t="shared" si="9"/>
        <v>45905</v>
      </c>
      <c r="GF11" s="184">
        <f t="shared" si="9"/>
        <v>45908</v>
      </c>
      <c r="GG11" s="184">
        <f t="shared" si="9"/>
        <v>45909</v>
      </c>
      <c r="GH11" s="184">
        <f t="shared" si="9"/>
        <v>45910</v>
      </c>
      <c r="GI11" s="184">
        <f t="shared" si="9"/>
        <v>45911</v>
      </c>
      <c r="GJ11" s="184">
        <f t="shared" si="9"/>
        <v>45912</v>
      </c>
      <c r="GK11" s="184">
        <f t="shared" si="9"/>
        <v>45915</v>
      </c>
      <c r="GL11" s="184">
        <f t="shared" si="9"/>
        <v>45916</v>
      </c>
      <c r="GM11" s="184">
        <f t="shared" si="9"/>
        <v>45917</v>
      </c>
      <c r="GN11" s="184">
        <f t="shared" si="9"/>
        <v>45918</v>
      </c>
      <c r="GO11" s="184">
        <f t="shared" si="9"/>
        <v>45919</v>
      </c>
      <c r="GP11" s="184">
        <f t="shared" si="9"/>
        <v>45922</v>
      </c>
      <c r="GQ11" s="184">
        <f t="shared" si="9"/>
        <v>45923</v>
      </c>
      <c r="GR11" s="184">
        <f t="shared" si="9"/>
        <v>45924</v>
      </c>
      <c r="GS11" s="184">
        <f t="shared" si="9"/>
        <v>45925</v>
      </c>
      <c r="GT11" s="184">
        <f t="shared" si="9"/>
        <v>45926</v>
      </c>
      <c r="GU11" s="184">
        <f t="shared" si="9"/>
        <v>45929</v>
      </c>
      <c r="GV11" s="184">
        <f t="shared" si="9"/>
        <v>45930</v>
      </c>
      <c r="GW11" s="184">
        <f t="shared" si="9"/>
        <v>45931</v>
      </c>
      <c r="GX11" s="184">
        <f t="shared" si="9"/>
        <v>45932</v>
      </c>
      <c r="GY11" s="184">
        <f t="shared" si="9"/>
        <v>45933</v>
      </c>
      <c r="GZ11" s="184">
        <f t="shared" si="9"/>
        <v>45936</v>
      </c>
      <c r="HA11" s="184">
        <f t="shared" si="9"/>
        <v>45937</v>
      </c>
      <c r="HB11" s="184">
        <f t="shared" si="9"/>
        <v>45938</v>
      </c>
      <c r="HC11" s="184">
        <f t="shared" si="9"/>
        <v>45939</v>
      </c>
      <c r="HD11" s="184">
        <f t="shared" si="9"/>
        <v>45940</v>
      </c>
      <c r="HE11" s="184">
        <f t="shared" si="9"/>
        <v>45943</v>
      </c>
      <c r="HF11" s="184">
        <f t="shared" si="9"/>
        <v>45944</v>
      </c>
      <c r="HG11" s="184">
        <f t="shared" si="9"/>
        <v>45945</v>
      </c>
      <c r="HH11" s="184">
        <f t="shared" si="9"/>
        <v>45946</v>
      </c>
      <c r="HI11" s="184">
        <f t="shared" si="9"/>
        <v>45947</v>
      </c>
      <c r="HJ11" s="184">
        <f t="shared" si="9"/>
        <v>45950</v>
      </c>
      <c r="HK11" s="184">
        <f t="shared" si="9"/>
        <v>45951</v>
      </c>
      <c r="HL11" s="184">
        <f t="shared" si="9"/>
        <v>45952</v>
      </c>
      <c r="HM11" s="184">
        <f t="shared" si="9"/>
        <v>45953</v>
      </c>
      <c r="HN11" s="184">
        <f t="shared" si="9"/>
        <v>45954</v>
      </c>
      <c r="HO11" s="184">
        <f t="shared" si="9"/>
        <v>45957</v>
      </c>
      <c r="HP11" s="184">
        <f t="shared" si="9"/>
        <v>45958</v>
      </c>
      <c r="HQ11" s="184">
        <f t="shared" si="9"/>
        <v>45959</v>
      </c>
      <c r="HR11" s="184">
        <f t="shared" si="9"/>
        <v>45960</v>
      </c>
      <c r="HS11" s="184">
        <f t="shared" si="9"/>
        <v>45961</v>
      </c>
      <c r="HT11" s="184">
        <f t="shared" si="9"/>
        <v>45964</v>
      </c>
      <c r="HU11" s="184">
        <f t="shared" si="9"/>
        <v>45965</v>
      </c>
      <c r="HV11" s="184">
        <f t="shared" si="9"/>
        <v>45966</v>
      </c>
      <c r="HW11" s="184">
        <f t="shared" si="9"/>
        <v>45967</v>
      </c>
      <c r="HX11" s="184">
        <f t="shared" si="9"/>
        <v>45968</v>
      </c>
      <c r="HY11" s="184">
        <f t="shared" si="9"/>
        <v>45971</v>
      </c>
      <c r="HZ11" s="184">
        <f t="shared" si="9"/>
        <v>45972</v>
      </c>
      <c r="IA11" s="184">
        <f t="shared" si="9"/>
        <v>45973</v>
      </c>
      <c r="IB11" s="184">
        <f t="shared" si="9"/>
        <v>45974</v>
      </c>
      <c r="IC11" s="184">
        <f t="shared" si="9"/>
        <v>45975</v>
      </c>
      <c r="ID11" s="184">
        <f t="shared" si="9"/>
        <v>45978</v>
      </c>
      <c r="IE11" s="184">
        <f t="shared" si="9"/>
        <v>45979</v>
      </c>
      <c r="IF11" s="184">
        <f t="shared" si="9"/>
        <v>45980</v>
      </c>
      <c r="IG11" s="184">
        <f t="shared" ref="IG11:IY11" si="10">IF(TEXT(IF11,"DDD")="Fri",IF11+3,IF(TEXT(IF11,"DDD")="Sat",IF11+2,IF11+1))</f>
        <v>45981</v>
      </c>
      <c r="IH11" s="184">
        <f t="shared" si="10"/>
        <v>45982</v>
      </c>
      <c r="II11" s="184">
        <f t="shared" si="10"/>
        <v>45985</v>
      </c>
      <c r="IJ11" s="184">
        <f t="shared" si="10"/>
        <v>45986</v>
      </c>
      <c r="IK11" s="184">
        <f t="shared" si="10"/>
        <v>45987</v>
      </c>
      <c r="IL11" s="184">
        <f t="shared" si="10"/>
        <v>45988</v>
      </c>
      <c r="IM11" s="184">
        <f t="shared" si="10"/>
        <v>45989</v>
      </c>
      <c r="IN11" s="184">
        <f t="shared" si="10"/>
        <v>45992</v>
      </c>
      <c r="IO11" s="184">
        <f t="shared" si="10"/>
        <v>45993</v>
      </c>
      <c r="IP11" s="184">
        <f t="shared" si="10"/>
        <v>45994</v>
      </c>
      <c r="IQ11" s="184">
        <f t="shared" si="10"/>
        <v>45995</v>
      </c>
      <c r="IR11" s="184">
        <f t="shared" si="10"/>
        <v>45996</v>
      </c>
      <c r="IS11" s="184">
        <f t="shared" si="10"/>
        <v>45999</v>
      </c>
      <c r="IT11" s="184">
        <f t="shared" si="10"/>
        <v>46000</v>
      </c>
      <c r="IU11" s="184">
        <f t="shared" si="10"/>
        <v>46001</v>
      </c>
      <c r="IV11" s="184">
        <f t="shared" si="10"/>
        <v>46002</v>
      </c>
      <c r="IW11" s="184">
        <f t="shared" si="10"/>
        <v>46003</v>
      </c>
      <c r="IX11" s="184">
        <f t="shared" si="10"/>
        <v>46006</v>
      </c>
      <c r="IY11" s="184">
        <f t="shared" si="10"/>
        <v>46007</v>
      </c>
      <c r="IZ11" s="184">
        <f>IF(TEXT(IY11,"DDD")="Fri",IY11+3,IF(TEXT(IY11,"DDD")="Sat",IY11+2,IY11+1))</f>
        <v>46008</v>
      </c>
      <c r="JA11" s="184">
        <f t="shared" ref="JA11:JJ11" si="11">IF(TEXT(IZ11,"DDD")="Fri",IZ11+3,IF(TEXT(IZ11,"DDD")="Sat",IZ11+2,IZ11+1))</f>
        <v>46009</v>
      </c>
      <c r="JB11" s="184">
        <f t="shared" si="11"/>
        <v>46010</v>
      </c>
      <c r="JC11" s="184">
        <f t="shared" si="11"/>
        <v>46013</v>
      </c>
      <c r="JD11" s="184">
        <f t="shared" si="11"/>
        <v>46014</v>
      </c>
      <c r="JE11" s="184">
        <f t="shared" si="11"/>
        <v>46015</v>
      </c>
      <c r="JF11" s="184">
        <f t="shared" si="11"/>
        <v>46016</v>
      </c>
      <c r="JG11" s="184">
        <f t="shared" si="11"/>
        <v>46017</v>
      </c>
      <c r="JH11" s="184">
        <f t="shared" si="11"/>
        <v>46020</v>
      </c>
      <c r="JI11" s="184">
        <f t="shared" si="11"/>
        <v>46021</v>
      </c>
      <c r="JJ11" s="184">
        <f t="shared" si="11"/>
        <v>46022</v>
      </c>
      <c r="JK11" s="109"/>
    </row>
    <row r="12" spans="2:271" ht="17" thickBot="1" x14ac:dyDescent="0.25">
      <c r="B12" s="107"/>
      <c r="C12" s="301">
        <v>113</v>
      </c>
      <c r="D12" s="302"/>
      <c r="E12" s="303" t="s">
        <v>40</v>
      </c>
      <c r="F12" s="304"/>
      <c r="G12" s="305">
        <v>45894</v>
      </c>
      <c r="H12" s="304"/>
      <c r="I12" s="13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  <c r="AN12" s="101"/>
      <c r="AO12" s="101"/>
      <c r="AP12" s="101"/>
      <c r="AQ12" s="101"/>
      <c r="AR12" s="101"/>
      <c r="AS12" s="101"/>
      <c r="AT12" s="101"/>
      <c r="AU12" s="101"/>
      <c r="AV12" s="101"/>
      <c r="AW12" s="101"/>
      <c r="AX12" s="101"/>
      <c r="AY12" s="101"/>
      <c r="AZ12" s="101"/>
      <c r="BA12" s="101"/>
      <c r="BB12" s="101"/>
      <c r="BC12" s="101"/>
      <c r="BD12" s="101"/>
      <c r="BE12" s="101"/>
      <c r="BF12" s="101"/>
      <c r="BG12" s="101"/>
      <c r="BH12" s="101"/>
      <c r="BI12" s="101"/>
      <c r="BJ12" s="101"/>
      <c r="BK12" s="101"/>
      <c r="BL12" s="101"/>
      <c r="BM12" s="101"/>
      <c r="BN12" s="101"/>
      <c r="BO12" s="101"/>
      <c r="BP12" s="101"/>
      <c r="BQ12" s="101"/>
      <c r="BR12" s="101"/>
      <c r="BS12" s="101"/>
      <c r="BT12" s="101"/>
      <c r="BU12" s="101"/>
      <c r="BV12" s="101"/>
      <c r="BW12" s="101"/>
      <c r="BX12" s="101"/>
      <c r="BY12" s="101"/>
      <c r="BZ12" s="101"/>
      <c r="CA12" s="101"/>
      <c r="CB12" s="101"/>
      <c r="CC12" s="101"/>
      <c r="CD12" s="101"/>
      <c r="CE12" s="101"/>
      <c r="CF12" s="101"/>
      <c r="CG12" s="101"/>
      <c r="CH12" s="101"/>
      <c r="CI12" s="101"/>
      <c r="CJ12" s="101"/>
      <c r="CK12" s="101"/>
      <c r="CL12" s="101"/>
      <c r="CM12" s="101"/>
      <c r="CN12" s="101"/>
      <c r="CO12" s="101"/>
      <c r="CP12" s="101"/>
      <c r="CQ12" s="101"/>
      <c r="CR12" s="101"/>
      <c r="CS12" s="101"/>
      <c r="CT12" s="101"/>
      <c r="CU12" s="101"/>
      <c r="CV12" s="101"/>
      <c r="CW12" s="101"/>
      <c r="CX12" s="101"/>
      <c r="CY12" s="101"/>
      <c r="CZ12" s="101"/>
      <c r="DA12" s="101"/>
      <c r="DB12" s="101"/>
      <c r="DC12" s="101"/>
      <c r="DD12" s="101"/>
      <c r="DE12" s="101"/>
      <c r="DF12" s="101"/>
      <c r="DG12" s="101"/>
      <c r="DH12" s="101"/>
      <c r="DI12" s="101"/>
      <c r="DJ12" s="101"/>
      <c r="DK12" s="101"/>
      <c r="DL12" s="101"/>
      <c r="DM12" s="101"/>
      <c r="DN12" s="101"/>
      <c r="DO12" s="101"/>
      <c r="DP12" s="101"/>
      <c r="DQ12" s="101"/>
      <c r="DR12" s="101"/>
      <c r="DS12" s="101"/>
      <c r="DT12" s="101"/>
      <c r="DU12" s="101"/>
      <c r="DV12" s="101"/>
      <c r="DW12" s="101"/>
      <c r="DX12" s="101"/>
      <c r="DY12" s="101"/>
      <c r="DZ12" s="101"/>
      <c r="EA12" s="101"/>
      <c r="EB12" s="101"/>
      <c r="EC12" s="101"/>
      <c r="ED12" s="101"/>
      <c r="EE12" s="101"/>
      <c r="EF12" s="101"/>
      <c r="EG12" s="101"/>
      <c r="EH12" s="101"/>
      <c r="EI12" s="101"/>
      <c r="EJ12" s="101"/>
      <c r="EK12" s="101"/>
      <c r="EL12" s="101"/>
      <c r="EM12" s="101"/>
      <c r="EN12" s="101"/>
      <c r="EO12" s="101"/>
      <c r="EP12" s="101"/>
      <c r="EQ12" s="101"/>
      <c r="ER12" s="101"/>
      <c r="ES12" s="101"/>
      <c r="ET12" s="101"/>
      <c r="EU12" s="101"/>
      <c r="EV12" s="101"/>
      <c r="EW12" s="101"/>
      <c r="EX12" s="101"/>
      <c r="EY12" s="101"/>
      <c r="EZ12" s="101"/>
      <c r="FA12" s="101"/>
      <c r="FB12" s="101"/>
      <c r="FC12" s="101"/>
      <c r="FD12" s="101"/>
      <c r="FE12" s="101"/>
      <c r="FF12" s="101"/>
      <c r="FG12" s="101"/>
      <c r="FH12" s="101"/>
      <c r="FI12" s="101"/>
      <c r="FJ12" s="101"/>
      <c r="FK12" s="101"/>
      <c r="FL12" s="101"/>
      <c r="FM12" s="101"/>
      <c r="FN12" s="101"/>
      <c r="FO12" s="101"/>
      <c r="FP12" s="101"/>
      <c r="FQ12" s="101"/>
      <c r="FR12" s="101"/>
      <c r="FS12" s="101"/>
      <c r="FT12" s="101"/>
      <c r="FU12" s="101"/>
      <c r="FV12" s="101"/>
      <c r="FW12" s="101"/>
      <c r="FX12" s="101"/>
      <c r="FY12" s="101"/>
      <c r="FZ12" s="101"/>
      <c r="GA12" s="101"/>
      <c r="GB12" s="101"/>
      <c r="GC12" s="101"/>
      <c r="GD12" s="101"/>
      <c r="GE12" s="101"/>
      <c r="GF12" s="101"/>
      <c r="GG12" s="101"/>
      <c r="GH12" s="101"/>
      <c r="GI12" s="101"/>
      <c r="GJ12" s="101"/>
      <c r="GK12" s="101"/>
      <c r="GL12" s="101"/>
      <c r="GM12" s="101"/>
      <c r="GN12" s="101"/>
      <c r="GO12" s="101"/>
      <c r="GP12" s="101"/>
      <c r="GQ12" s="101"/>
      <c r="GR12" s="101"/>
      <c r="GS12" s="101"/>
      <c r="GT12" s="101"/>
      <c r="GU12" s="101"/>
      <c r="GV12" s="101"/>
      <c r="GW12" s="101"/>
      <c r="GX12" s="101"/>
      <c r="GY12" s="101"/>
      <c r="GZ12" s="101"/>
      <c r="HA12" s="101"/>
      <c r="HB12" s="101"/>
      <c r="HC12" s="101"/>
      <c r="HD12" s="101"/>
      <c r="HE12" s="101"/>
      <c r="HF12" s="101"/>
      <c r="HG12" s="101"/>
      <c r="HH12" s="101"/>
      <c r="HI12" s="101"/>
      <c r="HJ12" s="101"/>
      <c r="HK12" s="101"/>
      <c r="HL12" s="101"/>
      <c r="HM12" s="101"/>
      <c r="HN12" s="101"/>
      <c r="HO12" s="101"/>
      <c r="HP12" s="101"/>
      <c r="HQ12" s="101"/>
      <c r="HR12" s="101"/>
      <c r="HS12" s="101"/>
      <c r="HT12" s="101"/>
      <c r="HU12" s="101"/>
      <c r="HV12" s="101"/>
      <c r="HW12" s="101"/>
      <c r="HX12" s="101"/>
      <c r="HY12" s="101"/>
      <c r="HZ12" s="101"/>
      <c r="IA12" s="101"/>
      <c r="IB12" s="101"/>
      <c r="IC12" s="101"/>
      <c r="ID12" s="101"/>
      <c r="IE12" s="101"/>
      <c r="IF12" s="101"/>
      <c r="IG12" s="101"/>
      <c r="IH12" s="101"/>
      <c r="II12" s="101"/>
      <c r="IJ12" s="101"/>
      <c r="IK12" s="101"/>
      <c r="IL12" s="101"/>
      <c r="IM12" s="101"/>
      <c r="IN12" s="101"/>
      <c r="IO12" s="101"/>
      <c r="IP12" s="101"/>
      <c r="IQ12" s="101"/>
      <c r="IR12" s="101"/>
      <c r="IS12" s="101"/>
      <c r="IT12" s="101"/>
      <c r="IU12" s="101"/>
      <c r="IV12" s="101"/>
      <c r="IW12" s="101"/>
      <c r="IX12" s="101"/>
      <c r="IY12" s="101"/>
      <c r="IZ12" s="101"/>
      <c r="JA12" s="101"/>
      <c r="JB12" s="101"/>
      <c r="JC12" s="101"/>
      <c r="JD12" s="101"/>
      <c r="JE12" s="101"/>
      <c r="JF12" s="101"/>
      <c r="JG12" s="101"/>
      <c r="JH12" s="101"/>
      <c r="JI12" s="101"/>
      <c r="JJ12" s="101"/>
      <c r="JK12" s="109"/>
    </row>
    <row r="13" spans="2:271" x14ac:dyDescent="0.2">
      <c r="B13" s="10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3"/>
      <c r="BF13" s="113"/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3"/>
      <c r="CF13" s="113"/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3"/>
      <c r="CZ13" s="113"/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3"/>
      <c r="DR13" s="113"/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3"/>
      <c r="EI13" s="113"/>
      <c r="EJ13" s="113"/>
      <c r="EK13" s="113"/>
      <c r="EL13" s="113"/>
      <c r="EM13" s="113"/>
      <c r="EN13" s="113"/>
      <c r="EO13" s="113"/>
      <c r="EP13" s="113"/>
      <c r="EQ13" s="113"/>
      <c r="ER13" s="113"/>
      <c r="ES13" s="113"/>
      <c r="ET13" s="113"/>
      <c r="EU13" s="113"/>
      <c r="EV13" s="113"/>
      <c r="EW13" s="113"/>
      <c r="EX13" s="113"/>
      <c r="EY13" s="113"/>
      <c r="EZ13" s="113"/>
      <c r="FA13" s="113"/>
      <c r="FB13" s="113"/>
      <c r="FC13" s="113"/>
      <c r="FD13" s="113"/>
      <c r="FE13" s="113"/>
      <c r="FF13" s="113"/>
      <c r="FG13" s="113"/>
      <c r="FH13" s="113"/>
      <c r="FI13" s="113"/>
      <c r="FJ13" s="113"/>
      <c r="FK13" s="113"/>
      <c r="FL13" s="113"/>
      <c r="FM13" s="113"/>
      <c r="FN13" s="113"/>
      <c r="FO13" s="113"/>
      <c r="FP13" s="113"/>
      <c r="FQ13" s="113"/>
      <c r="FR13" s="113"/>
      <c r="FS13" s="113"/>
      <c r="FT13" s="113"/>
      <c r="FU13" s="113"/>
      <c r="FV13" s="113"/>
      <c r="FW13" s="113"/>
      <c r="FX13" s="113"/>
      <c r="FY13" s="113"/>
      <c r="FZ13" s="113"/>
      <c r="GA13" s="113"/>
      <c r="GB13" s="113"/>
      <c r="GC13" s="113"/>
      <c r="GD13" s="113"/>
      <c r="GE13" s="113"/>
      <c r="GF13" s="113"/>
      <c r="GG13" s="113"/>
      <c r="GH13" s="113"/>
      <c r="GI13" s="113"/>
      <c r="GJ13" s="113"/>
      <c r="GK13" s="113"/>
      <c r="GL13" s="113"/>
      <c r="GM13" s="113"/>
      <c r="GN13" s="113"/>
      <c r="GO13" s="113"/>
      <c r="GP13" s="113"/>
      <c r="GQ13" s="113"/>
      <c r="GR13" s="113"/>
      <c r="GS13" s="113"/>
      <c r="GT13" s="113"/>
      <c r="GU13" s="113"/>
      <c r="GV13" s="113"/>
      <c r="GW13" s="113"/>
      <c r="GX13" s="113"/>
      <c r="GY13" s="113"/>
      <c r="GZ13" s="113"/>
      <c r="HA13" s="113"/>
      <c r="HB13" s="113"/>
      <c r="HC13" s="113"/>
      <c r="HD13" s="113"/>
      <c r="HE13" s="113"/>
      <c r="HF13" s="113"/>
      <c r="HG13" s="113"/>
      <c r="HH13" s="113"/>
      <c r="HI13" s="113"/>
      <c r="HJ13" s="113"/>
      <c r="HK13" s="113"/>
      <c r="HL13" s="113"/>
      <c r="HM13" s="113"/>
      <c r="HN13" s="113"/>
      <c r="HO13" s="113"/>
      <c r="HP13" s="113"/>
      <c r="HQ13" s="113"/>
      <c r="HR13" s="113"/>
      <c r="HS13" s="113"/>
      <c r="HT13" s="113"/>
      <c r="HU13" s="113"/>
      <c r="HV13" s="113"/>
      <c r="HW13" s="113"/>
      <c r="HX13" s="113"/>
      <c r="HY13" s="113"/>
      <c r="HZ13" s="113"/>
      <c r="IA13" s="113"/>
      <c r="IB13" s="113"/>
      <c r="IC13" s="113"/>
      <c r="ID13" s="113"/>
      <c r="IE13" s="113"/>
      <c r="IF13" s="113"/>
      <c r="IG13" s="113"/>
      <c r="IH13" s="113"/>
      <c r="II13" s="113"/>
      <c r="IJ13" s="113"/>
      <c r="IK13" s="113"/>
      <c r="IL13" s="113"/>
      <c r="IM13" s="113"/>
      <c r="IN13" s="113"/>
      <c r="IO13" s="113"/>
      <c r="IP13" s="113"/>
      <c r="IQ13" s="113"/>
      <c r="IR13" s="113"/>
      <c r="IS13" s="113"/>
      <c r="IT13" s="113"/>
      <c r="IU13" s="113"/>
      <c r="IV13" s="113"/>
      <c r="IW13" s="113"/>
      <c r="IX13" s="113"/>
      <c r="IY13" s="113"/>
      <c r="IZ13" s="113"/>
      <c r="JA13" s="113"/>
      <c r="JB13" s="113"/>
      <c r="JC13" s="113"/>
      <c r="JD13" s="113"/>
      <c r="JE13" s="113"/>
      <c r="JF13" s="113"/>
      <c r="JG13" s="113"/>
      <c r="JH13" s="113"/>
      <c r="JI13" s="113"/>
      <c r="JJ13" s="113"/>
      <c r="JK13" s="109"/>
    </row>
    <row r="14" spans="2:271" ht="17" thickBot="1" x14ac:dyDescent="0.25">
      <c r="B14" s="110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4"/>
      <c r="CR14" s="114"/>
      <c r="CS14" s="114"/>
      <c r="CT14" s="114"/>
      <c r="CU14" s="114"/>
      <c r="CV14" s="114"/>
      <c r="CW14" s="114"/>
      <c r="CX14" s="114"/>
      <c r="CY14" s="114"/>
      <c r="CZ14" s="114"/>
      <c r="DA14" s="114"/>
      <c r="DB14" s="114"/>
      <c r="DC14" s="114"/>
      <c r="DD14" s="114"/>
      <c r="DE14" s="114"/>
      <c r="DF14" s="114"/>
      <c r="DG14" s="114"/>
      <c r="DH14" s="114"/>
      <c r="DI14" s="114"/>
      <c r="DJ14" s="114"/>
      <c r="DK14" s="114"/>
      <c r="DL14" s="114"/>
      <c r="DM14" s="114"/>
      <c r="DN14" s="114"/>
      <c r="DO14" s="114"/>
      <c r="DP14" s="114"/>
      <c r="DQ14" s="114"/>
      <c r="DR14" s="114"/>
      <c r="DS14" s="114"/>
      <c r="DT14" s="114"/>
      <c r="DU14" s="114"/>
      <c r="DV14" s="114"/>
      <c r="DW14" s="114"/>
      <c r="DX14" s="114"/>
      <c r="DY14" s="114"/>
      <c r="DZ14" s="114"/>
      <c r="EA14" s="114"/>
      <c r="EB14" s="114"/>
      <c r="EC14" s="114"/>
      <c r="ED14" s="114"/>
      <c r="EE14" s="114"/>
      <c r="EF14" s="114"/>
      <c r="EG14" s="114"/>
      <c r="EH14" s="114"/>
      <c r="EI14" s="114"/>
      <c r="EJ14" s="114"/>
      <c r="EK14" s="114"/>
      <c r="EL14" s="114"/>
      <c r="EM14" s="114"/>
      <c r="EN14" s="114"/>
      <c r="EO14" s="114"/>
      <c r="EP14" s="114"/>
      <c r="EQ14" s="114"/>
      <c r="ER14" s="114"/>
      <c r="ES14" s="114"/>
      <c r="ET14" s="114"/>
      <c r="EU14" s="114"/>
      <c r="EV14" s="114"/>
      <c r="EW14" s="114"/>
      <c r="EX14" s="114"/>
      <c r="EY14" s="114"/>
      <c r="EZ14" s="114"/>
      <c r="FA14" s="114"/>
      <c r="FB14" s="114"/>
      <c r="FC14" s="114"/>
      <c r="FD14" s="114"/>
      <c r="FE14" s="114"/>
      <c r="FF14" s="114"/>
      <c r="FG14" s="114"/>
      <c r="FH14" s="114"/>
      <c r="FI14" s="114"/>
      <c r="FJ14" s="114"/>
      <c r="FK14" s="114"/>
      <c r="FL14" s="114"/>
      <c r="FM14" s="114"/>
      <c r="FN14" s="114"/>
      <c r="FO14" s="114"/>
      <c r="FP14" s="114"/>
      <c r="FQ14" s="114"/>
      <c r="FR14" s="114"/>
      <c r="FS14" s="114"/>
      <c r="FT14" s="114"/>
      <c r="FU14" s="114"/>
      <c r="FV14" s="114"/>
      <c r="FW14" s="114"/>
      <c r="FX14" s="114"/>
      <c r="FY14" s="114"/>
      <c r="FZ14" s="114"/>
      <c r="GA14" s="114"/>
      <c r="GB14" s="114"/>
      <c r="GC14" s="114"/>
      <c r="GD14" s="114"/>
      <c r="GE14" s="114"/>
      <c r="GF14" s="114"/>
      <c r="GG14" s="114"/>
      <c r="GH14" s="114"/>
      <c r="GI14" s="114"/>
      <c r="GJ14" s="114"/>
      <c r="GK14" s="114"/>
      <c r="GL14" s="114"/>
      <c r="GM14" s="114"/>
      <c r="GN14" s="114"/>
      <c r="GO14" s="114"/>
      <c r="GP14" s="114"/>
      <c r="GQ14" s="114"/>
      <c r="GR14" s="114"/>
      <c r="GS14" s="114"/>
      <c r="GT14" s="114"/>
      <c r="GU14" s="114"/>
      <c r="GV14" s="114"/>
      <c r="GW14" s="114"/>
      <c r="GX14" s="114"/>
      <c r="GY14" s="114"/>
      <c r="GZ14" s="114"/>
      <c r="HA14" s="114"/>
      <c r="HB14" s="114"/>
      <c r="HC14" s="114"/>
      <c r="HD14" s="114"/>
      <c r="HE14" s="114"/>
      <c r="HF14" s="114"/>
      <c r="HG14" s="114"/>
      <c r="HH14" s="114"/>
      <c r="HI14" s="114"/>
      <c r="HJ14" s="114"/>
      <c r="HK14" s="114"/>
      <c r="HL14" s="114"/>
      <c r="HM14" s="114"/>
      <c r="HN14" s="114"/>
      <c r="HO14" s="114"/>
      <c r="HP14" s="114"/>
      <c r="HQ14" s="114"/>
      <c r="HR14" s="114"/>
      <c r="HS14" s="114"/>
      <c r="HT14" s="114"/>
      <c r="HU14" s="114"/>
      <c r="HV14" s="114"/>
      <c r="HW14" s="114"/>
      <c r="HX14" s="114"/>
      <c r="HY14" s="114"/>
      <c r="HZ14" s="114"/>
      <c r="IA14" s="114"/>
      <c r="IB14" s="114"/>
      <c r="IC14" s="114"/>
      <c r="ID14" s="114"/>
      <c r="IE14" s="114"/>
      <c r="IF14" s="114"/>
      <c r="IG14" s="114"/>
      <c r="IH14" s="114"/>
      <c r="II14" s="114"/>
      <c r="IJ14" s="114"/>
      <c r="IK14" s="114"/>
      <c r="IL14" s="114"/>
      <c r="IM14" s="114"/>
      <c r="IN14" s="114"/>
      <c r="IO14" s="114"/>
      <c r="IP14" s="114"/>
      <c r="IQ14" s="114"/>
      <c r="IR14" s="114"/>
      <c r="IS14" s="114"/>
      <c r="IT14" s="114"/>
      <c r="IU14" s="114"/>
      <c r="IV14" s="114"/>
      <c r="IW14" s="114"/>
      <c r="IX14" s="114"/>
      <c r="IY14" s="114"/>
      <c r="IZ14" s="114"/>
      <c r="JA14" s="114"/>
      <c r="JB14" s="114"/>
      <c r="JC14" s="114"/>
      <c r="JD14" s="114"/>
      <c r="JE14" s="114"/>
      <c r="JF14" s="114"/>
      <c r="JG14" s="114"/>
      <c r="JH14" s="114"/>
      <c r="JI14" s="114"/>
      <c r="JJ14" s="114"/>
      <c r="JK14" s="112"/>
    </row>
    <row r="15" spans="2:271" ht="18" thickTop="1" thickBot="1" x14ac:dyDescent="0.25">
      <c r="B15" s="4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6"/>
    </row>
    <row r="18" spans="2:22" ht="17" thickBot="1" x14ac:dyDescent="0.25"/>
    <row r="19" spans="2:22" ht="16" customHeight="1" x14ac:dyDescent="0.2">
      <c r="B19" s="185"/>
      <c r="C19" s="298" t="s">
        <v>108</v>
      </c>
      <c r="D19" s="298"/>
      <c r="E19" s="298"/>
      <c r="F19" s="298"/>
      <c r="G19" s="298"/>
      <c r="H19" s="298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06"/>
    </row>
    <row r="20" spans="2:22" ht="16" customHeight="1" x14ac:dyDescent="0.2">
      <c r="B20" s="186"/>
      <c r="C20" s="299"/>
      <c r="D20" s="299"/>
      <c r="E20" s="299"/>
      <c r="F20" s="299"/>
      <c r="G20" s="299"/>
      <c r="H20" s="299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09"/>
    </row>
    <row r="21" spans="2:22" ht="16" customHeight="1" x14ac:dyDescent="0.2">
      <c r="B21" s="186"/>
      <c r="C21" s="299"/>
      <c r="D21" s="299"/>
      <c r="E21" s="299"/>
      <c r="F21" s="299"/>
      <c r="G21" s="299"/>
      <c r="H21" s="299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09"/>
    </row>
    <row r="22" spans="2:22" ht="16" customHeight="1" x14ac:dyDescent="0.2">
      <c r="B22" s="186"/>
      <c r="C22" s="299"/>
      <c r="D22" s="299"/>
      <c r="E22" s="299"/>
      <c r="F22" s="299"/>
      <c r="G22" s="299"/>
      <c r="H22" s="299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09"/>
    </row>
    <row r="23" spans="2:22" ht="16" customHeight="1" thickBot="1" x14ac:dyDescent="0.25">
      <c r="B23" s="186"/>
      <c r="C23" s="300"/>
      <c r="D23" s="300"/>
      <c r="E23" s="300"/>
      <c r="F23" s="300"/>
      <c r="G23" s="300"/>
      <c r="H23" s="300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09"/>
    </row>
    <row r="24" spans="2:22" ht="18" thickTop="1" thickBot="1" x14ac:dyDescent="0.25">
      <c r="B24" s="107"/>
      <c r="C24" s="4"/>
      <c r="D24" s="3"/>
      <c r="E24" s="3"/>
      <c r="F24" s="3"/>
      <c r="G24" s="3"/>
      <c r="H24" s="3"/>
      <c r="I24" s="10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6"/>
      <c r="V24" s="109"/>
    </row>
    <row r="25" spans="2:22" ht="17" thickBot="1" x14ac:dyDescent="0.25">
      <c r="B25" s="107"/>
      <c r="C25" s="194" t="s">
        <v>44</v>
      </c>
      <c r="D25" s="195"/>
      <c r="E25" s="194" t="s">
        <v>39</v>
      </c>
      <c r="F25" s="199"/>
      <c r="G25" s="194" t="s">
        <v>38</v>
      </c>
      <c r="H25" s="195"/>
      <c r="I25" s="10"/>
      <c r="J25" s="291">
        <v>2025</v>
      </c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3"/>
      <c r="V25" s="109"/>
    </row>
    <row r="26" spans="2:22" ht="17" thickBot="1" x14ac:dyDescent="0.25">
      <c r="B26" s="107"/>
      <c r="C26" s="196"/>
      <c r="D26" s="197"/>
      <c r="E26" s="196"/>
      <c r="F26" s="200"/>
      <c r="G26" s="196"/>
      <c r="H26" s="197"/>
      <c r="I26" s="11"/>
      <c r="J26" s="124" t="s">
        <v>0</v>
      </c>
      <c r="K26" s="124" t="s">
        <v>1</v>
      </c>
      <c r="L26" s="124" t="s">
        <v>2</v>
      </c>
      <c r="M26" s="124" t="s">
        <v>3</v>
      </c>
      <c r="N26" s="124" t="s">
        <v>4</v>
      </c>
      <c r="O26" s="124" t="s">
        <v>5</v>
      </c>
      <c r="P26" s="124" t="s">
        <v>11</v>
      </c>
      <c r="Q26" s="124" t="s">
        <v>6</v>
      </c>
      <c r="R26" s="124" t="s">
        <v>7</v>
      </c>
      <c r="S26" s="124" t="s">
        <v>8</v>
      </c>
      <c r="T26" s="124" t="s">
        <v>9</v>
      </c>
      <c r="U26" s="124" t="s">
        <v>10</v>
      </c>
      <c r="V26" s="109"/>
    </row>
    <row r="27" spans="2:22" x14ac:dyDescent="0.2">
      <c r="B27" s="107"/>
      <c r="C27" s="294" t="str">
        <f>'Item Prices'!D13</f>
        <v>WRENCH</v>
      </c>
      <c r="D27" s="295"/>
      <c r="E27" s="294" cm="1">
        <f t="array" aca="1" ref="E27" ca="1">COUNTIF(INDIRECT(_xlfn.CONCAT("E12:E",MATCH("Order Totals",RIGHT($C:$C,12),0)-7)),$C27)</f>
        <v>1</v>
      </c>
      <c r="F27" s="295"/>
      <c r="G27" s="296">
        <f ca="1">'Item Prices'!G13*E27</f>
        <v>80</v>
      </c>
      <c r="H27" s="297"/>
      <c r="I27" s="187"/>
      <c r="J27" s="188" cm="1">
        <f t="array" aca="1" ref="J27" ca="1">COUNTIFS(INDIRECT(_xlfn.CONCAT("E12:F",MATCH("Order Totals",RIGHT($C:$C,12),0)-7)),$C27,INDIRECT(_xlfn.CONCAT("G12:H",MATCH("Order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Prices'!$G$13</f>
        <v>0</v>
      </c>
      <c r="K27" s="188" cm="1">
        <f t="array" aca="1" ref="K27" ca="1">COUNTIFS(INDIRECT(_xlfn.CONCAT("E12:F",MATCH("Order Totals",RIGHT($C:$C,12),0)-7)),$C27,INDIRECT(_xlfn.CONCAT("G12:H",MATCH("Order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Prices'!$G$13</f>
        <v>0</v>
      </c>
      <c r="L27" s="188" cm="1">
        <f t="array" aca="1" ref="L27" ca="1">COUNTIFS(INDIRECT(_xlfn.CONCAT("E12:F",MATCH("Order Totals",RIGHT($C:$C,12),0)-7)),$C27,INDIRECT(_xlfn.CONCAT("G12:H",MATCH("Order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Prices'!$G$13</f>
        <v>0</v>
      </c>
      <c r="M27" s="188" cm="1">
        <f t="array" aca="1" ref="M27" ca="1">COUNTIFS(INDIRECT(_xlfn.CONCAT("E12:F",MATCH("Order Totals",RIGHT($C:$C,12),0)-7)),$C27,INDIRECT(_xlfn.CONCAT("G12:H",MATCH("Order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Prices'!$G$13</f>
        <v>0</v>
      </c>
      <c r="N27" s="188" cm="1">
        <f t="array" aca="1" ref="N27" ca="1">COUNTIFS(INDIRECT(_xlfn.CONCAT("E12:F",MATCH("Order Totals",RIGHT($C:$C,12),0)-7)),$C27,INDIRECT(_xlfn.CONCAT("G12:H",MATCH("Order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Prices'!$G$13</f>
        <v>0</v>
      </c>
      <c r="O27" s="188" cm="1">
        <f t="array" aca="1" ref="O27" ca="1">COUNTIFS(INDIRECT(_xlfn.CONCAT("E12:F",MATCH("Order Totals",RIGHT($C:$C,12),0)-7)),$C27,INDIRECT(_xlfn.CONCAT("G12:H",MATCH("Order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Prices'!$G$13</f>
        <v>0</v>
      </c>
      <c r="P27" s="188" cm="1">
        <f t="array" aca="1" ref="P27" ca="1">COUNTIFS(INDIRECT(_xlfn.CONCAT("E12:F",MATCH("Order Totals",RIGHT($C:$C,12),0)-7)),$C27,INDIRECT(_xlfn.CONCAT("G12:H",MATCH("Order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Prices'!$G$13</f>
        <v>0</v>
      </c>
      <c r="Q27" s="188" cm="1">
        <f t="array" aca="1" ref="Q27" ca="1">COUNTIFS(INDIRECT(_xlfn.CONCAT("E12:F",MATCH("Order Totals",RIGHT($C:$C,12),0)-7)),$C27,INDIRECT(_xlfn.CONCAT("G12:H",MATCH("Order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Prices'!$G$13</f>
        <v>80</v>
      </c>
      <c r="R27" s="188" cm="1">
        <f t="array" aca="1" ref="R27" ca="1">COUNTIFS(INDIRECT(_xlfn.CONCAT("E12:F",MATCH("Order Totals",RIGHT($C:$C,12),0)-7)),$C27,INDIRECT(_xlfn.CONCAT("G12:H",MATCH("Order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Prices'!$G$13</f>
        <v>0</v>
      </c>
      <c r="S27" s="188" cm="1">
        <f t="array" aca="1" ref="S27" ca="1">COUNTIFS(INDIRECT(_xlfn.CONCAT("E12:F",MATCH("Order Totals",RIGHT($C:$C,12),0)-7)),$C27,INDIRECT(_xlfn.CONCAT("G12:H",MATCH("Order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Prices'!$G$13</f>
        <v>0</v>
      </c>
      <c r="T27" s="188" cm="1">
        <f t="array" aca="1" ref="T27" ca="1">COUNTIFS(INDIRECT(_xlfn.CONCAT("E12:F",MATCH("Order Totals",RIGHT($C:$C,12),0)-7)),$C27,INDIRECT(_xlfn.CONCAT("G12:H",MATCH("Order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Prices'!$G$13</f>
        <v>0</v>
      </c>
      <c r="U27" s="188" cm="1">
        <f t="array" aca="1" ref="U27" ca="1">COUNTIFS(INDIRECT(_xlfn.CONCAT("E12:F",MATCH("Order Totals",RIGHT($C:$C,12),0)-7)),$C27,INDIRECT(_xlfn.CONCAT("G12:H",MATCH("Order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Prices'!$G$13</f>
        <v>0</v>
      </c>
      <c r="V27" s="109"/>
    </row>
    <row r="28" spans="2:22" x14ac:dyDescent="0.2">
      <c r="B28" s="107"/>
      <c r="C28" s="287" t="str">
        <f>'Item Prices'!D16</f>
        <v>HAMMER</v>
      </c>
      <c r="D28" s="288"/>
      <c r="E28" s="287" cm="1">
        <f t="array" aca="1" ref="E28" ca="1">COUNTIF(INDIRECT(_xlfn.CONCAT("E12:E",MATCH("Order Totals",RIGHT($C:$C,12),0)-7)),$C28)</f>
        <v>0</v>
      </c>
      <c r="F28" s="288"/>
      <c r="G28" s="289">
        <f ca="1">'Item Prices'!G16*E28</f>
        <v>0</v>
      </c>
      <c r="H28" s="290"/>
      <c r="I28" s="187"/>
      <c r="J28" s="189" cm="1">
        <f t="array" aca="1" ref="J28" ca="1">COUNTIFS(INDIRECT(_xlfn.CONCAT("E12:F",MATCH("Order Totals",RIGHT($C:$C,12),0)-7)),$C28,INDIRECT(_xlfn.CONCAT("G12:H",MATCH("Order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28" s="189" cm="1">
        <f t="array" aca="1" ref="K28" ca="1">COUNTIFS(INDIRECT(_xlfn.CONCAT("E12:F",MATCH("Order Totals",RIGHT($C:$C,12),0)-7)),$C28,INDIRECT(_xlfn.CONCAT("G12:H",MATCH("Order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28" s="189" cm="1">
        <f t="array" aca="1" ref="L28" ca="1">COUNTIFS(INDIRECT(_xlfn.CONCAT("E12:F",MATCH("Order Totals",RIGHT($C:$C,12),0)-7)),$C28,INDIRECT(_xlfn.CONCAT("G12:H",MATCH("Order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28" s="189" cm="1">
        <f t="array" aca="1" ref="M28" ca="1">COUNTIFS(INDIRECT(_xlfn.CONCAT("E12:F",MATCH("Order Totals",RIGHT($C:$C,12),0)-7)),$C28,INDIRECT(_xlfn.CONCAT("G12:H",MATCH("Order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28" s="189" cm="1">
        <f t="array" aca="1" ref="N28" ca="1">COUNTIFS(INDIRECT(_xlfn.CONCAT("E12:F",MATCH("Order Totals",RIGHT($C:$C,12),0)-7)),$C28,INDIRECT(_xlfn.CONCAT("G12:H",MATCH("Order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28" s="189" cm="1">
        <f t="array" aca="1" ref="O28" ca="1">COUNTIFS(INDIRECT(_xlfn.CONCAT("E12:F",MATCH("Order Totals",RIGHT($C:$C,12),0)-7)),$C28,INDIRECT(_xlfn.CONCAT("G12:H",MATCH("Order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28" s="189" cm="1">
        <f t="array" aca="1" ref="P28" ca="1">COUNTIFS(INDIRECT(_xlfn.CONCAT("E12:F",MATCH("Order Totals",RIGHT($C:$C,12),0)-7)),$C28,INDIRECT(_xlfn.CONCAT("G12:H",MATCH("Order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28" s="189" cm="1">
        <f t="array" aca="1" ref="Q28" ca="1">COUNTIFS(INDIRECT(_xlfn.CONCAT("E12:F",MATCH("Order Totals",RIGHT($C:$C,12),0)-7)),$C28,INDIRECT(_xlfn.CONCAT("G12:H",MATCH("Order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28" s="189" cm="1">
        <f t="array" aca="1" ref="R28" ca="1">COUNTIFS(INDIRECT(_xlfn.CONCAT("E12:F",MATCH("Order Totals",RIGHT($C:$C,12),0)-7)),$C28,INDIRECT(_xlfn.CONCAT("G12:H",MATCH("Order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28" s="189" cm="1">
        <f t="array" aca="1" ref="S28" ca="1">COUNTIFS(INDIRECT(_xlfn.CONCAT("E12:F",MATCH("Order Totals",RIGHT($C:$C,12),0)-7)),$C28,INDIRECT(_xlfn.CONCAT("G12:H",MATCH("Order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28" s="189" cm="1">
        <f t="array" aca="1" ref="T28" ca="1">COUNTIFS(INDIRECT(_xlfn.CONCAT("E12:F",MATCH("Order Totals",RIGHT($C:$C,12),0)-7)),$C28,INDIRECT(_xlfn.CONCAT("G12:H",MATCH("Order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28" s="189" cm="1">
        <f t="array" aca="1" ref="U28" ca="1">COUNTIFS(INDIRECT(_xlfn.CONCAT("E12:F",MATCH("Order Totals",RIGHT($C:$C,12),0)-7)),$C28,INDIRECT(_xlfn.CONCAT("G12:H",MATCH("Order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28" s="109"/>
    </row>
    <row r="29" spans="2:22" x14ac:dyDescent="0.2">
      <c r="B29" s="107"/>
      <c r="C29" s="287" t="str">
        <f>'Item Prices'!D19</f>
        <v>BUZZSAW</v>
      </c>
      <c r="D29" s="288"/>
      <c r="E29" s="287" cm="1">
        <f t="array" aca="1" ref="E29" ca="1">COUNTIF(INDIRECT(_xlfn.CONCAT("E12:E",MATCH("Order Totals",RIGHT($C:$C,12),0)-7)),$C29)</f>
        <v>0</v>
      </c>
      <c r="F29" s="288"/>
      <c r="G29" s="289">
        <f ca="1">'Item Prices'!G19*E29</f>
        <v>0</v>
      </c>
      <c r="H29" s="290"/>
      <c r="I29" s="187"/>
      <c r="J29" s="189" cm="1">
        <f t="array" aca="1" ref="J29" ca="1">COUNTIFS(INDIRECT(_xlfn.CONCAT("E12:F",MATCH("Order Totals",RIGHT($C:$C,12),0)-7)),$C29,INDIRECT(_xlfn.CONCAT("G12:H",MATCH("Order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29" s="189" cm="1">
        <f t="array" aca="1" ref="K29" ca="1">COUNTIFS(INDIRECT(_xlfn.CONCAT("E12:F",MATCH("Order Totals",RIGHT($C:$C,12),0)-7)),$C29,INDIRECT(_xlfn.CONCAT("G12:H",MATCH("Order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29" s="189" cm="1">
        <f t="array" aca="1" ref="L29" ca="1">COUNTIFS(INDIRECT(_xlfn.CONCAT("E12:F",MATCH("Order Totals",RIGHT($C:$C,12),0)-7)),$C29,INDIRECT(_xlfn.CONCAT("G12:H",MATCH("Order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29" s="189" cm="1">
        <f t="array" aca="1" ref="M29" ca="1">COUNTIFS(INDIRECT(_xlfn.CONCAT("E12:F",MATCH("Order Totals",RIGHT($C:$C,12),0)-7)),$C29,INDIRECT(_xlfn.CONCAT("G12:H",MATCH("Order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29" s="189" cm="1">
        <f t="array" aca="1" ref="N29" ca="1">COUNTIFS(INDIRECT(_xlfn.CONCAT("E12:F",MATCH("Order Totals",RIGHT($C:$C,12),0)-7)),$C29,INDIRECT(_xlfn.CONCAT("G12:H",MATCH("Order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29" s="189" cm="1">
        <f t="array" aca="1" ref="O29" ca="1">COUNTIFS(INDIRECT(_xlfn.CONCAT("E12:F",MATCH("Order Totals",RIGHT($C:$C,12),0)-7)),$C29,INDIRECT(_xlfn.CONCAT("G12:H",MATCH("Order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29" s="189" cm="1">
        <f t="array" aca="1" ref="P29" ca="1">COUNTIFS(INDIRECT(_xlfn.CONCAT("E12:F",MATCH("Order Totals",RIGHT($C:$C,12),0)-7)),$C29,INDIRECT(_xlfn.CONCAT("G12:H",MATCH("Order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29" s="189" cm="1">
        <f t="array" aca="1" ref="Q29" ca="1">COUNTIFS(INDIRECT(_xlfn.CONCAT("E12:F",MATCH("Order Totals",RIGHT($C:$C,12),0)-7)),$C29,INDIRECT(_xlfn.CONCAT("G12:H",MATCH("Order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29" s="189" cm="1">
        <f t="array" aca="1" ref="R29" ca="1">COUNTIFS(INDIRECT(_xlfn.CONCAT("E12:F",MATCH("Order Totals",RIGHT($C:$C,12),0)-7)),$C29,INDIRECT(_xlfn.CONCAT("G12:H",MATCH("Order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29" s="189" cm="1">
        <f t="array" aca="1" ref="S29" ca="1">COUNTIFS(INDIRECT(_xlfn.CONCAT("E12:F",MATCH("Order Totals",RIGHT($C:$C,12),0)-7)),$C29,INDIRECT(_xlfn.CONCAT("G12:H",MATCH("Order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29" s="189" cm="1">
        <f t="array" aca="1" ref="T29" ca="1">COUNTIFS(INDIRECT(_xlfn.CONCAT("E12:F",MATCH("Order Totals",RIGHT($C:$C,12),0)-7)),$C29,INDIRECT(_xlfn.CONCAT("G12:H",MATCH("Order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29" s="189" cm="1">
        <f t="array" aca="1" ref="U29" ca="1">COUNTIFS(INDIRECT(_xlfn.CONCAT("E12:F",MATCH("Order Totals",RIGHT($C:$C,12),0)-7)),$C29,INDIRECT(_xlfn.CONCAT("G12:H",MATCH("Order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29" s="109"/>
    </row>
    <row r="30" spans="2:22" x14ac:dyDescent="0.2">
      <c r="B30" s="107"/>
      <c r="C30" s="287" t="str">
        <f>'Item Prices'!D22</f>
        <v>SCREWDRIVER</v>
      </c>
      <c r="D30" s="288"/>
      <c r="E30" s="287" cm="1">
        <f t="array" aca="1" ref="E30" ca="1">COUNTIF(INDIRECT(_xlfn.CONCAT("E12:E",MATCH("Order Totals",RIGHT($C:$C,12),0)-7)),$C30)</f>
        <v>0</v>
      </c>
      <c r="F30" s="288"/>
      <c r="G30" s="289">
        <f ca="1">'Item Prices'!G22*E30</f>
        <v>0</v>
      </c>
      <c r="H30" s="290"/>
      <c r="I30" s="187"/>
      <c r="J30" s="189" cm="1">
        <f t="array" aca="1" ref="J30" ca="1">COUNTIFS(INDIRECT(_xlfn.CONCAT("E12:F",MATCH("Order Totals",RIGHT($C:$C,12),0)-7)),$C30,INDIRECT(_xlfn.CONCAT("G12:H",MATCH("Order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0" s="189" cm="1">
        <f t="array" aca="1" ref="K30" ca="1">COUNTIFS(INDIRECT(_xlfn.CONCAT("E12:F",MATCH("Order Totals",RIGHT($C:$C,12),0)-7)),$C30,INDIRECT(_xlfn.CONCAT("G12:H",MATCH("Order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0" s="189" cm="1">
        <f t="array" aca="1" ref="L30" ca="1">COUNTIFS(INDIRECT(_xlfn.CONCAT("E12:F",MATCH("Order Totals",RIGHT($C:$C,12),0)-7)),$C30,INDIRECT(_xlfn.CONCAT("G12:H",MATCH("Order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0" s="189" cm="1">
        <f t="array" aca="1" ref="M30" ca="1">COUNTIFS(INDIRECT(_xlfn.CONCAT("E12:F",MATCH("Order Totals",RIGHT($C:$C,12),0)-7)),$C30,INDIRECT(_xlfn.CONCAT("G12:H",MATCH("Order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0" s="189" cm="1">
        <f t="array" aca="1" ref="N30" ca="1">COUNTIFS(INDIRECT(_xlfn.CONCAT("E12:F",MATCH("Order Totals",RIGHT($C:$C,12),0)-7)),$C30,INDIRECT(_xlfn.CONCAT("G12:H",MATCH("Order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0" s="189" cm="1">
        <f t="array" aca="1" ref="O30" ca="1">COUNTIFS(INDIRECT(_xlfn.CONCAT("E12:F",MATCH("Order Totals",RIGHT($C:$C,12),0)-7)),$C30,INDIRECT(_xlfn.CONCAT("G12:H",MATCH("Order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0" s="189" cm="1">
        <f t="array" aca="1" ref="P30" ca="1">COUNTIFS(INDIRECT(_xlfn.CONCAT("E12:F",MATCH("Order Totals",RIGHT($C:$C,12),0)-7)),$C30,INDIRECT(_xlfn.CONCAT("G12:H",MATCH("Order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0" s="189" cm="1">
        <f t="array" aca="1" ref="Q30" ca="1">COUNTIFS(INDIRECT(_xlfn.CONCAT("E12:F",MATCH("Order Totals",RIGHT($C:$C,12),0)-7)),$C30,INDIRECT(_xlfn.CONCAT("G12:H",MATCH("Order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0" s="189" cm="1">
        <f t="array" aca="1" ref="R30" ca="1">COUNTIFS(INDIRECT(_xlfn.CONCAT("E12:F",MATCH("Order Totals",RIGHT($C:$C,12),0)-7)),$C30,INDIRECT(_xlfn.CONCAT("G12:H",MATCH("Order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0" s="189" cm="1">
        <f t="array" aca="1" ref="S30" ca="1">COUNTIFS(INDIRECT(_xlfn.CONCAT("E12:F",MATCH("Order Totals",RIGHT($C:$C,12),0)-7)),$C30,INDIRECT(_xlfn.CONCAT("G12:H",MATCH("Order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0" s="189" cm="1">
        <f t="array" aca="1" ref="T30" ca="1">COUNTIFS(INDIRECT(_xlfn.CONCAT("E12:F",MATCH("Order Totals",RIGHT($C:$C,12),0)-7)),$C30,INDIRECT(_xlfn.CONCAT("G12:H",MATCH("Order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0" s="189" cm="1">
        <f t="array" aca="1" ref="U30" ca="1">COUNTIFS(INDIRECT(_xlfn.CONCAT("E12:F",MATCH("Order Totals",RIGHT($C:$C,12),0)-7)),$C30,INDIRECT(_xlfn.CONCAT("G12:H",MATCH("Order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0" s="109"/>
    </row>
    <row r="31" spans="2:22" x14ac:dyDescent="0.2">
      <c r="B31" s="107"/>
      <c r="C31" s="287" t="str">
        <f>'Item Prices'!D25</f>
        <v>NAILS</v>
      </c>
      <c r="D31" s="288"/>
      <c r="E31" s="287" cm="1">
        <f t="array" aca="1" ref="E31" ca="1">COUNTIF(INDIRECT(_xlfn.CONCAT("E12:E",MATCH("Order Totals",RIGHT($C:$C,12),0)-7)),$C31)</f>
        <v>0</v>
      </c>
      <c r="F31" s="288"/>
      <c r="G31" s="289">
        <f ca="1">'Item Prices'!G25*E31</f>
        <v>0</v>
      </c>
      <c r="H31" s="290"/>
      <c r="I31" s="187"/>
      <c r="J31" s="189" cm="1">
        <f t="array" aca="1" ref="J31" ca="1">COUNTIFS(INDIRECT(_xlfn.CONCAT("E12:F",MATCH("Order Totals",RIGHT($C:$C,12),0)-7)),$C31,INDIRECT(_xlfn.CONCAT("G12:H",MATCH("Order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1" s="189" cm="1">
        <f t="array" aca="1" ref="K31" ca="1">COUNTIFS(INDIRECT(_xlfn.CONCAT("E12:F",MATCH("Order Totals",RIGHT($C:$C,12),0)-7)),$C31,INDIRECT(_xlfn.CONCAT("G12:H",MATCH("Order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1" s="189" cm="1">
        <f t="array" aca="1" ref="L31" ca="1">COUNTIFS(INDIRECT(_xlfn.CONCAT("E12:F",MATCH("Order Totals",RIGHT($C:$C,12),0)-7)),$C31,INDIRECT(_xlfn.CONCAT("G12:H",MATCH("Order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1" s="189" cm="1">
        <f t="array" aca="1" ref="M31" ca="1">COUNTIFS(INDIRECT(_xlfn.CONCAT("E12:F",MATCH("Order Totals",RIGHT($C:$C,12),0)-7)),$C31,INDIRECT(_xlfn.CONCAT("G12:H",MATCH("Order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1" s="189" cm="1">
        <f t="array" aca="1" ref="N31" ca="1">COUNTIFS(INDIRECT(_xlfn.CONCAT("E12:F",MATCH("Order Totals",RIGHT($C:$C,12),0)-7)),$C31,INDIRECT(_xlfn.CONCAT("G12:H",MATCH("Order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1" s="189" cm="1">
        <f t="array" aca="1" ref="O31" ca="1">COUNTIFS(INDIRECT(_xlfn.CONCAT("E12:F",MATCH("Order Totals",RIGHT($C:$C,12),0)-7)),$C31,INDIRECT(_xlfn.CONCAT("G12:H",MATCH("Order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1" s="189" cm="1">
        <f t="array" aca="1" ref="P31" ca="1">COUNTIFS(INDIRECT(_xlfn.CONCAT("E12:F",MATCH("Order Totals",RIGHT($C:$C,12),0)-7)),$C31,INDIRECT(_xlfn.CONCAT("G12:H",MATCH("Order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1" s="189" cm="1">
        <f t="array" aca="1" ref="Q31" ca="1">COUNTIFS(INDIRECT(_xlfn.CONCAT("E12:F",MATCH("Order Totals",RIGHT($C:$C,12),0)-7)),$C31,INDIRECT(_xlfn.CONCAT("G12:H",MATCH("Order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1" s="189" cm="1">
        <f t="array" aca="1" ref="R31" ca="1">COUNTIFS(INDIRECT(_xlfn.CONCAT("E12:F",MATCH("Order Totals",RIGHT($C:$C,12),0)-7)),$C31,INDIRECT(_xlfn.CONCAT("G12:H",MATCH("Order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1" s="189" cm="1">
        <f t="array" aca="1" ref="S31" ca="1">COUNTIFS(INDIRECT(_xlfn.CONCAT("E12:F",MATCH("Order Totals",RIGHT($C:$C,12),0)-7)),$C31,INDIRECT(_xlfn.CONCAT("G12:H",MATCH("Order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1" s="189" cm="1">
        <f t="array" aca="1" ref="T31" ca="1">COUNTIFS(INDIRECT(_xlfn.CONCAT("E12:F",MATCH("Order Totals",RIGHT($C:$C,12),0)-7)),$C31,INDIRECT(_xlfn.CONCAT("G12:H",MATCH("Order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1" s="189" cm="1">
        <f t="array" aca="1" ref="U31" ca="1">COUNTIFS(INDIRECT(_xlfn.CONCAT("E12:F",MATCH("Order Totals",RIGHT($C:$C,12),0)-7)),$C31,INDIRECT(_xlfn.CONCAT("G12:H",MATCH("Order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1" s="109"/>
    </row>
    <row r="32" spans="2:22" ht="17" thickBot="1" x14ac:dyDescent="0.25">
      <c r="B32" s="107"/>
      <c r="C32" s="287" t="str">
        <f>'Item Prices'!D28</f>
        <v>MEASURING TAPE</v>
      </c>
      <c r="D32" s="288"/>
      <c r="E32" s="287" cm="1">
        <f t="array" aca="1" ref="E32" ca="1">COUNTIF(INDIRECT(_xlfn.CONCAT("E12:E",MATCH("Order Totals",RIGHT($C:$C,12),0)-7)),$C32)</f>
        <v>0</v>
      </c>
      <c r="F32" s="288"/>
      <c r="G32" s="289">
        <f ca="1">'Item Prices'!G28*E32</f>
        <v>0</v>
      </c>
      <c r="H32" s="290"/>
      <c r="I32" s="190"/>
      <c r="J32" s="189" cm="1">
        <f t="array" aca="1" ref="J32" ca="1">COUNTIFS(INDIRECT(_xlfn.CONCAT("E12:F",MATCH("Order Totals",RIGHT($C:$C,12),0)-7)),$C32,INDIRECT(_xlfn.CONCAT("G12:H",MATCH("Order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2" s="189" cm="1">
        <f t="array" aca="1" ref="K32" ca="1">COUNTIFS(INDIRECT(_xlfn.CONCAT("E12:F",MATCH("Order Totals",RIGHT($C:$C,12),0)-7)),$C32,INDIRECT(_xlfn.CONCAT("G12:H",MATCH("Order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2" s="189" cm="1">
        <f t="array" aca="1" ref="L32" ca="1">COUNTIFS(INDIRECT(_xlfn.CONCAT("E12:F",MATCH("Order Totals",RIGHT($C:$C,12),0)-7)),$C32,INDIRECT(_xlfn.CONCAT("G12:H",MATCH("Order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2" s="189" cm="1">
        <f t="array" aca="1" ref="M32" ca="1">COUNTIFS(INDIRECT(_xlfn.CONCAT("E12:F",MATCH("Order Totals",RIGHT($C:$C,12),0)-7)),$C32,INDIRECT(_xlfn.CONCAT("G12:H",MATCH("Order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2" s="189" cm="1">
        <f t="array" aca="1" ref="N32" ca="1">COUNTIFS(INDIRECT(_xlfn.CONCAT("E12:F",MATCH("Order Totals",RIGHT($C:$C,12),0)-7)),$C32,INDIRECT(_xlfn.CONCAT("G12:H",MATCH("Order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2" s="189" cm="1">
        <f t="array" aca="1" ref="O32" ca="1">COUNTIFS(INDIRECT(_xlfn.CONCAT("E12:F",MATCH("Order Totals",RIGHT($C:$C,12),0)-7)),$C32,INDIRECT(_xlfn.CONCAT("G12:H",MATCH("Order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2" s="189" cm="1">
        <f t="array" aca="1" ref="P32" ca="1">COUNTIFS(INDIRECT(_xlfn.CONCAT("E12:F",MATCH("Order Totals",RIGHT($C:$C,12),0)-7)),$C32,INDIRECT(_xlfn.CONCAT("G12:H",MATCH("Order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2" s="189" cm="1">
        <f t="array" aca="1" ref="Q32" ca="1">COUNTIFS(INDIRECT(_xlfn.CONCAT("E12:F",MATCH("Order Totals",RIGHT($C:$C,12),0)-7)),$C32,INDIRECT(_xlfn.CONCAT("G12:H",MATCH("Order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2" s="189" cm="1">
        <f t="array" aca="1" ref="R32" ca="1">COUNTIFS(INDIRECT(_xlfn.CONCAT("E12:F",MATCH("Order Totals",RIGHT($C:$C,12),0)-7)),$C32,INDIRECT(_xlfn.CONCAT("G12:H",MATCH("Order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2" s="189" cm="1">
        <f t="array" aca="1" ref="S32" ca="1">COUNTIFS(INDIRECT(_xlfn.CONCAT("E12:F",MATCH("Order Totals",RIGHT($C:$C,12),0)-7)),$C32,INDIRECT(_xlfn.CONCAT("G12:H",MATCH("Order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2" s="189" cm="1">
        <f t="array" aca="1" ref="T32" ca="1">COUNTIFS(INDIRECT(_xlfn.CONCAT("E12:F",MATCH("Order Totals",RIGHT($C:$C,12),0)-7)),$C32,INDIRECT(_xlfn.CONCAT("G12:H",MATCH("Order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2" s="189" cm="1">
        <f t="array" aca="1" ref="U32" ca="1">COUNTIFS(INDIRECT(_xlfn.CONCAT("E12:F",MATCH("Order Totals",RIGHT($C:$C,12),0)-7)),$C32,INDIRECT(_xlfn.CONCAT("G12:H",MATCH("Order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2" s="109"/>
    </row>
    <row r="33" spans="2:22" x14ac:dyDescent="0.2">
      <c r="B33" s="10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09"/>
    </row>
    <row r="34" spans="2:22" ht="17" thickBot="1" x14ac:dyDescent="0.25">
      <c r="B34" s="110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2"/>
    </row>
    <row r="35" spans="2:22" ht="18" thickTop="1" thickBot="1" x14ac:dyDescent="0.25">
      <c r="B35" s="4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6"/>
    </row>
  </sheetData>
  <sheetProtection sheet="1" objects="1" scenarios="1" selectLockedCells="1"/>
  <mergeCells count="30">
    <mergeCell ref="C19:H23"/>
    <mergeCell ref="C25:D26"/>
    <mergeCell ref="E25:F26"/>
    <mergeCell ref="G25:H26"/>
    <mergeCell ref="C4:H8"/>
    <mergeCell ref="C10:D11"/>
    <mergeCell ref="E10:F11"/>
    <mergeCell ref="G10:H11"/>
    <mergeCell ref="C12:D12"/>
    <mergeCell ref="E12:F12"/>
    <mergeCell ref="G12:H12"/>
    <mergeCell ref="J25:U25"/>
    <mergeCell ref="C28:D28"/>
    <mergeCell ref="E28:F28"/>
    <mergeCell ref="G28:H28"/>
    <mergeCell ref="C29:D29"/>
    <mergeCell ref="E29:F29"/>
    <mergeCell ref="G29:H29"/>
    <mergeCell ref="C27:D27"/>
    <mergeCell ref="E27:F27"/>
    <mergeCell ref="G27:H27"/>
    <mergeCell ref="C32:D32"/>
    <mergeCell ref="E32:F32"/>
    <mergeCell ref="G32:H32"/>
    <mergeCell ref="C30:D30"/>
    <mergeCell ref="E30:F30"/>
    <mergeCell ref="G30:H30"/>
    <mergeCell ref="C31:D31"/>
    <mergeCell ref="E31:F31"/>
    <mergeCell ref="G31:H31"/>
  </mergeCells>
  <conditionalFormatting sqref="J12:JJ12">
    <cfRule type="expression" dxfId="3" priority="1" stopIfTrue="1">
      <formula>IF(J$11=$G12,TRUE,FALSE)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B1D32-8D89-3A44-BBF9-B3AB3ADC06CF}">
  <sheetPr codeName="Sheet11"/>
  <dimension ref="B3:JK35"/>
  <sheetViews>
    <sheetView showGridLines="0" zoomScale="75" zoomScaleNormal="89" workbookViewId="0">
      <selection activeCell="V41" sqref="V41"/>
    </sheetView>
  </sheetViews>
  <sheetFormatPr baseColWidth="10" defaultRowHeight="16" x14ac:dyDescent="0.2"/>
  <cols>
    <col min="9" max="9" width="4.33203125" customWidth="1"/>
  </cols>
  <sheetData>
    <row r="3" spans="2:271" ht="17" customHeight="1" thickBot="1" x14ac:dyDescent="0.25"/>
    <row r="4" spans="2:271" ht="15" customHeight="1" x14ac:dyDescent="0.2">
      <c r="B4" s="104"/>
      <c r="C4" s="298" t="s">
        <v>106</v>
      </c>
      <c r="D4" s="298"/>
      <c r="E4" s="298"/>
      <c r="F4" s="298"/>
      <c r="G4" s="298"/>
      <c r="H4" s="298"/>
      <c r="I4" s="180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7"/>
      <c r="BC4" s="117"/>
      <c r="BD4" s="117"/>
      <c r="BE4" s="117"/>
      <c r="BF4" s="117"/>
      <c r="BG4" s="117"/>
      <c r="BH4" s="117"/>
      <c r="BI4" s="117"/>
      <c r="BJ4" s="117"/>
      <c r="BK4" s="117"/>
      <c r="BL4" s="117"/>
      <c r="BM4" s="117"/>
      <c r="BN4" s="117"/>
      <c r="BO4" s="117"/>
      <c r="BP4" s="117"/>
      <c r="BQ4" s="117"/>
      <c r="BR4" s="117"/>
      <c r="BS4" s="117"/>
      <c r="BT4" s="117"/>
      <c r="BU4" s="117"/>
      <c r="BV4" s="117"/>
      <c r="BW4" s="117"/>
      <c r="BX4" s="117"/>
      <c r="BY4" s="117"/>
      <c r="BZ4" s="117"/>
      <c r="CA4" s="117"/>
      <c r="CB4" s="117"/>
      <c r="CC4" s="117"/>
      <c r="CD4" s="117"/>
      <c r="CE4" s="117"/>
      <c r="CF4" s="117"/>
      <c r="CG4" s="117"/>
      <c r="CH4" s="117"/>
      <c r="CI4" s="117"/>
      <c r="CJ4" s="117"/>
      <c r="CK4" s="117"/>
      <c r="CL4" s="117"/>
      <c r="CM4" s="117"/>
      <c r="CN4" s="117"/>
      <c r="CO4" s="117"/>
      <c r="CP4" s="117"/>
      <c r="CQ4" s="117"/>
      <c r="CR4" s="117"/>
      <c r="CS4" s="117"/>
      <c r="CT4" s="117"/>
      <c r="CU4" s="117"/>
      <c r="CV4" s="117"/>
      <c r="CW4" s="117"/>
      <c r="CX4" s="117"/>
      <c r="CY4" s="117"/>
      <c r="CZ4" s="117"/>
      <c r="DA4" s="117"/>
      <c r="DB4" s="117"/>
      <c r="DC4" s="117"/>
      <c r="DD4" s="117"/>
      <c r="DE4" s="117"/>
      <c r="DF4" s="117"/>
      <c r="DG4" s="117"/>
      <c r="DH4" s="117"/>
      <c r="DI4" s="117"/>
      <c r="DJ4" s="117"/>
      <c r="DK4" s="117"/>
      <c r="DL4" s="117"/>
      <c r="DM4" s="117"/>
      <c r="DN4" s="117"/>
      <c r="DO4" s="117"/>
      <c r="DP4" s="117"/>
      <c r="DQ4" s="117"/>
      <c r="DR4" s="117"/>
      <c r="DS4" s="117"/>
      <c r="DT4" s="117"/>
      <c r="DU4" s="117"/>
      <c r="DV4" s="117"/>
      <c r="DW4" s="117"/>
      <c r="DX4" s="117"/>
      <c r="DY4" s="117"/>
      <c r="DZ4" s="117"/>
      <c r="EA4" s="117"/>
      <c r="EB4" s="117"/>
      <c r="EC4" s="117"/>
      <c r="ED4" s="117"/>
      <c r="EE4" s="117"/>
      <c r="EF4" s="117"/>
      <c r="EG4" s="117"/>
      <c r="EH4" s="117"/>
      <c r="EI4" s="117"/>
      <c r="EJ4" s="117"/>
      <c r="EK4" s="117"/>
      <c r="EL4" s="117"/>
      <c r="EM4" s="117"/>
      <c r="EN4" s="117"/>
      <c r="EO4" s="117"/>
      <c r="EP4" s="117"/>
      <c r="EQ4" s="117"/>
      <c r="ER4" s="117"/>
      <c r="ES4" s="117"/>
      <c r="ET4" s="117"/>
      <c r="EU4" s="117"/>
      <c r="EV4" s="117"/>
      <c r="EW4" s="117"/>
      <c r="EX4" s="117"/>
      <c r="EY4" s="117"/>
      <c r="EZ4" s="117"/>
      <c r="FA4" s="117"/>
      <c r="FB4" s="117"/>
      <c r="FC4" s="117"/>
      <c r="FD4" s="117"/>
      <c r="FE4" s="117"/>
      <c r="FF4" s="117"/>
      <c r="FG4" s="117"/>
      <c r="FH4" s="117"/>
      <c r="FI4" s="117"/>
      <c r="FJ4" s="117"/>
      <c r="FK4" s="117"/>
      <c r="FL4" s="117"/>
      <c r="FM4" s="117"/>
      <c r="FN4" s="117"/>
      <c r="FO4" s="117"/>
      <c r="FP4" s="117"/>
      <c r="FQ4" s="117"/>
      <c r="FR4" s="117"/>
      <c r="FS4" s="117"/>
      <c r="FT4" s="117"/>
      <c r="FU4" s="117"/>
      <c r="FV4" s="117"/>
      <c r="FW4" s="117"/>
      <c r="FX4" s="117"/>
      <c r="FY4" s="117"/>
      <c r="FZ4" s="117"/>
      <c r="GA4" s="117"/>
      <c r="GB4" s="117"/>
      <c r="GC4" s="117"/>
      <c r="GD4" s="117"/>
      <c r="GE4" s="117"/>
      <c r="GF4" s="117"/>
      <c r="GG4" s="117"/>
      <c r="GH4" s="117"/>
      <c r="GI4" s="117"/>
      <c r="GJ4" s="117"/>
      <c r="GK4" s="117"/>
      <c r="GL4" s="117"/>
      <c r="GM4" s="117"/>
      <c r="GN4" s="117"/>
      <c r="GO4" s="117"/>
      <c r="GP4" s="117"/>
      <c r="GQ4" s="117"/>
      <c r="GR4" s="117"/>
      <c r="GS4" s="117"/>
      <c r="GT4" s="117"/>
      <c r="GU4" s="117"/>
      <c r="GV4" s="117"/>
      <c r="GW4" s="117"/>
      <c r="GX4" s="117"/>
      <c r="GY4" s="117"/>
      <c r="GZ4" s="117"/>
      <c r="HA4" s="117"/>
      <c r="HB4" s="117"/>
      <c r="HC4" s="117"/>
      <c r="HD4" s="117"/>
      <c r="HE4" s="117"/>
      <c r="HF4" s="117"/>
      <c r="HG4" s="117"/>
      <c r="HH4" s="117"/>
      <c r="HI4" s="117"/>
      <c r="HJ4" s="117"/>
      <c r="HK4" s="117"/>
      <c r="HL4" s="117"/>
      <c r="HM4" s="117"/>
      <c r="HN4" s="117"/>
      <c r="HO4" s="117"/>
      <c r="HP4" s="117"/>
      <c r="HQ4" s="117"/>
      <c r="HR4" s="117"/>
      <c r="HS4" s="117"/>
      <c r="HT4" s="117"/>
      <c r="HU4" s="117"/>
      <c r="HV4" s="117"/>
      <c r="HW4" s="117"/>
      <c r="HX4" s="117"/>
      <c r="HY4" s="117"/>
      <c r="HZ4" s="117"/>
      <c r="IA4" s="117"/>
      <c r="IB4" s="117"/>
      <c r="IC4" s="117"/>
      <c r="ID4" s="117"/>
      <c r="IE4" s="117"/>
      <c r="IF4" s="117"/>
      <c r="IG4" s="117"/>
      <c r="IH4" s="117"/>
      <c r="II4" s="117"/>
      <c r="IJ4" s="117"/>
      <c r="IK4" s="117"/>
      <c r="IL4" s="117"/>
      <c r="IM4" s="117"/>
      <c r="IN4" s="117"/>
      <c r="IO4" s="117"/>
      <c r="IP4" s="117"/>
      <c r="IQ4" s="117"/>
      <c r="IR4" s="117"/>
      <c r="IS4" s="117"/>
      <c r="IT4" s="117"/>
      <c r="IU4" s="117"/>
      <c r="IV4" s="117"/>
      <c r="IW4" s="117"/>
      <c r="IX4" s="117"/>
      <c r="IY4" s="117"/>
      <c r="IZ4" s="117"/>
      <c r="JA4" s="117"/>
      <c r="JB4" s="117"/>
      <c r="JC4" s="117"/>
      <c r="JD4" s="117"/>
      <c r="JE4" s="117"/>
      <c r="JF4" s="117"/>
      <c r="JG4" s="117"/>
      <c r="JH4" s="117"/>
      <c r="JI4" s="117"/>
      <c r="JJ4" s="117"/>
      <c r="JK4" s="106"/>
    </row>
    <row r="5" spans="2:271" ht="15" customHeight="1" x14ac:dyDescent="0.2">
      <c r="B5" s="107"/>
      <c r="C5" s="299"/>
      <c r="D5" s="299"/>
      <c r="E5" s="299"/>
      <c r="F5" s="299"/>
      <c r="G5" s="299"/>
      <c r="H5" s="299"/>
      <c r="I5" s="181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  <c r="BA5" s="113"/>
      <c r="BB5" s="113"/>
      <c r="BC5" s="113"/>
      <c r="BD5" s="113"/>
      <c r="BE5" s="113"/>
      <c r="BF5" s="113"/>
      <c r="BG5" s="113"/>
      <c r="BH5" s="113"/>
      <c r="BI5" s="113"/>
      <c r="BJ5" s="113"/>
      <c r="BK5" s="113"/>
      <c r="BL5" s="113"/>
      <c r="BM5" s="113"/>
      <c r="BN5" s="113"/>
      <c r="BO5" s="113"/>
      <c r="BP5" s="113"/>
      <c r="BQ5" s="113"/>
      <c r="BR5" s="113"/>
      <c r="BS5" s="113"/>
      <c r="BT5" s="113"/>
      <c r="BU5" s="113"/>
      <c r="BV5" s="113"/>
      <c r="BW5" s="113"/>
      <c r="BX5" s="113"/>
      <c r="BY5" s="113"/>
      <c r="BZ5" s="113"/>
      <c r="CA5" s="113"/>
      <c r="CB5" s="113"/>
      <c r="CC5" s="113"/>
      <c r="CD5" s="113"/>
      <c r="CE5" s="113"/>
      <c r="CF5" s="113"/>
      <c r="CG5" s="113"/>
      <c r="CH5" s="113"/>
      <c r="CI5" s="113"/>
      <c r="CJ5" s="113"/>
      <c r="CK5" s="113"/>
      <c r="CL5" s="113"/>
      <c r="CM5" s="113"/>
      <c r="CN5" s="113"/>
      <c r="CO5" s="113"/>
      <c r="CP5" s="113"/>
      <c r="CQ5" s="113"/>
      <c r="CR5" s="113"/>
      <c r="CS5" s="113"/>
      <c r="CT5" s="113"/>
      <c r="CU5" s="113"/>
      <c r="CV5" s="113"/>
      <c r="CW5" s="113"/>
      <c r="CX5" s="113"/>
      <c r="CY5" s="113"/>
      <c r="CZ5" s="113"/>
      <c r="DA5" s="113"/>
      <c r="DB5" s="113"/>
      <c r="DC5" s="113"/>
      <c r="DD5" s="113"/>
      <c r="DE5" s="113"/>
      <c r="DF5" s="113"/>
      <c r="DG5" s="113"/>
      <c r="DH5" s="113"/>
      <c r="DI5" s="113"/>
      <c r="DJ5" s="113"/>
      <c r="DK5" s="113"/>
      <c r="DL5" s="113"/>
      <c r="DM5" s="113"/>
      <c r="DN5" s="113"/>
      <c r="DO5" s="113"/>
      <c r="DP5" s="113"/>
      <c r="DQ5" s="113"/>
      <c r="DR5" s="113"/>
      <c r="DS5" s="113"/>
      <c r="DT5" s="113"/>
      <c r="DU5" s="113"/>
      <c r="DV5" s="113"/>
      <c r="DW5" s="113"/>
      <c r="DX5" s="113"/>
      <c r="DY5" s="113"/>
      <c r="DZ5" s="113"/>
      <c r="EA5" s="113"/>
      <c r="EB5" s="113"/>
      <c r="EC5" s="113"/>
      <c r="ED5" s="113"/>
      <c r="EE5" s="113"/>
      <c r="EF5" s="113"/>
      <c r="EG5" s="113"/>
      <c r="EH5" s="113"/>
      <c r="EI5" s="113"/>
      <c r="EJ5" s="113"/>
      <c r="EK5" s="113"/>
      <c r="EL5" s="113"/>
      <c r="EM5" s="113"/>
      <c r="EN5" s="113"/>
      <c r="EO5" s="113"/>
      <c r="EP5" s="113"/>
      <c r="EQ5" s="113"/>
      <c r="ER5" s="113"/>
      <c r="ES5" s="113"/>
      <c r="ET5" s="113"/>
      <c r="EU5" s="113"/>
      <c r="EV5" s="113"/>
      <c r="EW5" s="113"/>
      <c r="EX5" s="113"/>
      <c r="EY5" s="113"/>
      <c r="EZ5" s="113"/>
      <c r="FA5" s="113"/>
      <c r="FB5" s="113"/>
      <c r="FC5" s="113"/>
      <c r="FD5" s="113"/>
      <c r="FE5" s="113"/>
      <c r="FF5" s="113"/>
      <c r="FG5" s="113"/>
      <c r="FH5" s="113"/>
      <c r="FI5" s="113"/>
      <c r="FJ5" s="113"/>
      <c r="FK5" s="113"/>
      <c r="FL5" s="113"/>
      <c r="FM5" s="113"/>
      <c r="FN5" s="113"/>
      <c r="FO5" s="113"/>
      <c r="FP5" s="113"/>
      <c r="FQ5" s="113"/>
      <c r="FR5" s="113"/>
      <c r="FS5" s="113"/>
      <c r="FT5" s="113"/>
      <c r="FU5" s="113"/>
      <c r="FV5" s="113"/>
      <c r="FW5" s="113"/>
      <c r="FX5" s="113"/>
      <c r="FY5" s="113"/>
      <c r="FZ5" s="113"/>
      <c r="GA5" s="113"/>
      <c r="GB5" s="113"/>
      <c r="GC5" s="113"/>
      <c r="GD5" s="113"/>
      <c r="GE5" s="113"/>
      <c r="GF5" s="113"/>
      <c r="GG5" s="113"/>
      <c r="GH5" s="113"/>
      <c r="GI5" s="113"/>
      <c r="GJ5" s="113"/>
      <c r="GK5" s="113"/>
      <c r="GL5" s="113"/>
      <c r="GM5" s="113"/>
      <c r="GN5" s="113"/>
      <c r="GO5" s="113"/>
      <c r="GP5" s="113"/>
      <c r="GQ5" s="113"/>
      <c r="GR5" s="113"/>
      <c r="GS5" s="113"/>
      <c r="GT5" s="113"/>
      <c r="GU5" s="113"/>
      <c r="GV5" s="113"/>
      <c r="GW5" s="113"/>
      <c r="GX5" s="113"/>
      <c r="GY5" s="113"/>
      <c r="GZ5" s="113"/>
      <c r="HA5" s="113"/>
      <c r="HB5" s="113"/>
      <c r="HC5" s="113"/>
      <c r="HD5" s="113"/>
      <c r="HE5" s="113"/>
      <c r="HF5" s="113"/>
      <c r="HG5" s="113"/>
      <c r="HH5" s="113"/>
      <c r="HI5" s="113"/>
      <c r="HJ5" s="113"/>
      <c r="HK5" s="113"/>
      <c r="HL5" s="113"/>
      <c r="HM5" s="113"/>
      <c r="HN5" s="113"/>
      <c r="HO5" s="113"/>
      <c r="HP5" s="113"/>
      <c r="HQ5" s="113"/>
      <c r="HR5" s="113"/>
      <c r="HS5" s="113"/>
      <c r="HT5" s="113"/>
      <c r="HU5" s="113"/>
      <c r="HV5" s="113"/>
      <c r="HW5" s="113"/>
      <c r="HX5" s="113"/>
      <c r="HY5" s="113"/>
      <c r="HZ5" s="113"/>
      <c r="IA5" s="113"/>
      <c r="IB5" s="113"/>
      <c r="IC5" s="113"/>
      <c r="ID5" s="113"/>
      <c r="IE5" s="113"/>
      <c r="IF5" s="113"/>
      <c r="IG5" s="113"/>
      <c r="IH5" s="113"/>
      <c r="II5" s="113"/>
      <c r="IJ5" s="113"/>
      <c r="IK5" s="113"/>
      <c r="IL5" s="113"/>
      <c r="IM5" s="113"/>
      <c r="IN5" s="113"/>
      <c r="IO5" s="113"/>
      <c r="IP5" s="113"/>
      <c r="IQ5" s="113"/>
      <c r="IR5" s="113"/>
      <c r="IS5" s="113"/>
      <c r="IT5" s="113"/>
      <c r="IU5" s="113"/>
      <c r="IV5" s="113"/>
      <c r="IW5" s="113"/>
      <c r="IX5" s="113"/>
      <c r="IY5" s="113"/>
      <c r="IZ5" s="113"/>
      <c r="JA5" s="113"/>
      <c r="JB5" s="113"/>
      <c r="JC5" s="113"/>
      <c r="JD5" s="113"/>
      <c r="JE5" s="113"/>
      <c r="JF5" s="113"/>
      <c r="JG5" s="113"/>
      <c r="JH5" s="113"/>
      <c r="JI5" s="113"/>
      <c r="JJ5" s="113"/>
      <c r="JK5" s="109"/>
    </row>
    <row r="6" spans="2:271" ht="15" customHeight="1" x14ac:dyDescent="0.2">
      <c r="B6" s="107"/>
      <c r="C6" s="299"/>
      <c r="D6" s="299"/>
      <c r="E6" s="299"/>
      <c r="F6" s="299"/>
      <c r="G6" s="299"/>
      <c r="H6" s="299"/>
      <c r="I6" s="181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3"/>
      <c r="CF6" s="113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3"/>
      <c r="DT6" s="113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3"/>
      <c r="FH6" s="113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3"/>
      <c r="GV6" s="113"/>
      <c r="GW6" s="113"/>
      <c r="GX6" s="113"/>
      <c r="GY6" s="113"/>
      <c r="GZ6" s="113"/>
      <c r="HA6" s="113"/>
      <c r="HB6" s="113"/>
      <c r="HC6" s="113"/>
      <c r="HD6" s="113"/>
      <c r="HE6" s="113"/>
      <c r="HF6" s="113"/>
      <c r="HG6" s="113"/>
      <c r="HH6" s="113"/>
      <c r="HI6" s="113"/>
      <c r="HJ6" s="113"/>
      <c r="HK6" s="113"/>
      <c r="HL6" s="113"/>
      <c r="HM6" s="113"/>
      <c r="HN6" s="113"/>
      <c r="HO6" s="113"/>
      <c r="HP6" s="113"/>
      <c r="HQ6" s="113"/>
      <c r="HR6" s="113"/>
      <c r="HS6" s="113"/>
      <c r="HT6" s="113"/>
      <c r="HU6" s="113"/>
      <c r="HV6" s="113"/>
      <c r="HW6" s="113"/>
      <c r="HX6" s="113"/>
      <c r="HY6" s="113"/>
      <c r="HZ6" s="113"/>
      <c r="IA6" s="113"/>
      <c r="IB6" s="113"/>
      <c r="IC6" s="113"/>
      <c r="ID6" s="113"/>
      <c r="IE6" s="113"/>
      <c r="IF6" s="113"/>
      <c r="IG6" s="113"/>
      <c r="IH6" s="113"/>
      <c r="II6" s="113"/>
      <c r="IJ6" s="113"/>
      <c r="IK6" s="113"/>
      <c r="IL6" s="113"/>
      <c r="IM6" s="113"/>
      <c r="IN6" s="113"/>
      <c r="IO6" s="113"/>
      <c r="IP6" s="113"/>
      <c r="IQ6" s="113"/>
      <c r="IR6" s="113"/>
      <c r="IS6" s="113"/>
      <c r="IT6" s="113"/>
      <c r="IU6" s="113"/>
      <c r="IV6" s="113"/>
      <c r="IW6" s="113"/>
      <c r="IX6" s="113"/>
      <c r="IY6" s="113"/>
      <c r="IZ6" s="113"/>
      <c r="JA6" s="113"/>
      <c r="JB6" s="113"/>
      <c r="JC6" s="113"/>
      <c r="JD6" s="113"/>
      <c r="JE6" s="113"/>
      <c r="JF6" s="113"/>
      <c r="JG6" s="113"/>
      <c r="JH6" s="113"/>
      <c r="JI6" s="113"/>
      <c r="JJ6" s="113"/>
      <c r="JK6" s="109"/>
    </row>
    <row r="7" spans="2:271" ht="15" customHeight="1" x14ac:dyDescent="0.2">
      <c r="B7" s="107"/>
      <c r="C7" s="299"/>
      <c r="D7" s="299"/>
      <c r="E7" s="299"/>
      <c r="F7" s="299"/>
      <c r="G7" s="299"/>
      <c r="H7" s="299"/>
      <c r="I7" s="181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  <c r="BA7" s="113"/>
      <c r="BB7" s="113"/>
      <c r="BC7" s="113"/>
      <c r="BD7" s="113"/>
      <c r="BE7" s="113"/>
      <c r="BF7" s="113"/>
      <c r="BG7" s="113"/>
      <c r="BH7" s="113"/>
      <c r="BI7" s="113"/>
      <c r="BJ7" s="113"/>
      <c r="BK7" s="113"/>
      <c r="BL7" s="113"/>
      <c r="BM7" s="113"/>
      <c r="BN7" s="113"/>
      <c r="BO7" s="113"/>
      <c r="BP7" s="113"/>
      <c r="BQ7" s="113"/>
      <c r="BR7" s="113"/>
      <c r="BS7" s="113"/>
      <c r="BT7" s="113"/>
      <c r="BU7" s="113"/>
      <c r="BV7" s="113"/>
      <c r="BW7" s="113"/>
      <c r="BX7" s="113"/>
      <c r="BY7" s="113"/>
      <c r="BZ7" s="113"/>
      <c r="CA7" s="113"/>
      <c r="CB7" s="113"/>
      <c r="CC7" s="113"/>
      <c r="CD7" s="113"/>
      <c r="CE7" s="113"/>
      <c r="CF7" s="113"/>
      <c r="CG7" s="113"/>
      <c r="CH7" s="113"/>
      <c r="CI7" s="113"/>
      <c r="CJ7" s="113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113"/>
      <c r="DH7" s="113"/>
      <c r="DI7" s="113"/>
      <c r="DJ7" s="113"/>
      <c r="DK7" s="113"/>
      <c r="DL7" s="113"/>
      <c r="DM7" s="113"/>
      <c r="DN7" s="113"/>
      <c r="DO7" s="113"/>
      <c r="DP7" s="113"/>
      <c r="DQ7" s="113"/>
      <c r="DR7" s="113"/>
      <c r="DS7" s="113"/>
      <c r="DT7" s="113"/>
      <c r="DU7" s="113"/>
      <c r="DV7" s="113"/>
      <c r="DW7" s="113"/>
      <c r="DX7" s="113"/>
      <c r="DY7" s="113"/>
      <c r="DZ7" s="113"/>
      <c r="EA7" s="113"/>
      <c r="EB7" s="113"/>
      <c r="EC7" s="113"/>
      <c r="ED7" s="113"/>
      <c r="EE7" s="113"/>
      <c r="EF7" s="113"/>
      <c r="EG7" s="113"/>
      <c r="EH7" s="113"/>
      <c r="EI7" s="113"/>
      <c r="EJ7" s="113"/>
      <c r="EK7" s="113"/>
      <c r="EL7" s="113"/>
      <c r="EM7" s="113"/>
      <c r="EN7" s="113"/>
      <c r="EO7" s="113"/>
      <c r="EP7" s="113"/>
      <c r="EQ7" s="113"/>
      <c r="ER7" s="113"/>
      <c r="ES7" s="113"/>
      <c r="ET7" s="113"/>
      <c r="EU7" s="113"/>
      <c r="EV7" s="113"/>
      <c r="EW7" s="113"/>
      <c r="EX7" s="113"/>
      <c r="EY7" s="113"/>
      <c r="EZ7" s="113"/>
      <c r="FA7" s="113"/>
      <c r="FB7" s="113"/>
      <c r="FC7" s="113"/>
      <c r="FD7" s="113"/>
      <c r="FE7" s="113"/>
      <c r="FF7" s="113"/>
      <c r="FG7" s="113"/>
      <c r="FH7" s="113"/>
      <c r="FI7" s="113"/>
      <c r="FJ7" s="113"/>
      <c r="FK7" s="113"/>
      <c r="FL7" s="113"/>
      <c r="FM7" s="113"/>
      <c r="FN7" s="113"/>
      <c r="FO7" s="113"/>
      <c r="FP7" s="113"/>
      <c r="FQ7" s="113"/>
      <c r="FR7" s="113"/>
      <c r="FS7" s="113"/>
      <c r="FT7" s="113"/>
      <c r="FU7" s="113"/>
      <c r="FV7" s="113"/>
      <c r="FW7" s="113"/>
      <c r="FX7" s="113"/>
      <c r="FY7" s="113"/>
      <c r="FZ7" s="113"/>
      <c r="GA7" s="113"/>
      <c r="GB7" s="113"/>
      <c r="GC7" s="113"/>
      <c r="GD7" s="113"/>
      <c r="GE7" s="113"/>
      <c r="GF7" s="113"/>
      <c r="GG7" s="113"/>
      <c r="GH7" s="113"/>
      <c r="GI7" s="113"/>
      <c r="GJ7" s="113"/>
      <c r="GK7" s="113"/>
      <c r="GL7" s="113"/>
      <c r="GM7" s="113"/>
      <c r="GN7" s="113"/>
      <c r="GO7" s="113"/>
      <c r="GP7" s="113"/>
      <c r="GQ7" s="113"/>
      <c r="GR7" s="113"/>
      <c r="GS7" s="113"/>
      <c r="GT7" s="113"/>
      <c r="GU7" s="113"/>
      <c r="GV7" s="113"/>
      <c r="GW7" s="113"/>
      <c r="GX7" s="113"/>
      <c r="GY7" s="113"/>
      <c r="GZ7" s="113"/>
      <c r="HA7" s="113"/>
      <c r="HB7" s="113"/>
      <c r="HC7" s="113"/>
      <c r="HD7" s="113"/>
      <c r="HE7" s="113"/>
      <c r="HF7" s="113"/>
      <c r="HG7" s="113"/>
      <c r="HH7" s="113"/>
      <c r="HI7" s="113"/>
      <c r="HJ7" s="113"/>
      <c r="HK7" s="113"/>
      <c r="HL7" s="113"/>
      <c r="HM7" s="113"/>
      <c r="HN7" s="113"/>
      <c r="HO7" s="113"/>
      <c r="HP7" s="113"/>
      <c r="HQ7" s="113"/>
      <c r="HR7" s="113"/>
      <c r="HS7" s="113"/>
      <c r="HT7" s="113"/>
      <c r="HU7" s="113"/>
      <c r="HV7" s="113"/>
      <c r="HW7" s="113"/>
      <c r="HX7" s="113"/>
      <c r="HY7" s="113"/>
      <c r="HZ7" s="113"/>
      <c r="IA7" s="113"/>
      <c r="IB7" s="113"/>
      <c r="IC7" s="113"/>
      <c r="ID7" s="113"/>
      <c r="IE7" s="113"/>
      <c r="IF7" s="113"/>
      <c r="IG7" s="113"/>
      <c r="IH7" s="113"/>
      <c r="II7" s="113"/>
      <c r="IJ7" s="113"/>
      <c r="IK7" s="113"/>
      <c r="IL7" s="113"/>
      <c r="IM7" s="113"/>
      <c r="IN7" s="113"/>
      <c r="IO7" s="113"/>
      <c r="IP7" s="113"/>
      <c r="IQ7" s="113"/>
      <c r="IR7" s="113"/>
      <c r="IS7" s="113"/>
      <c r="IT7" s="113"/>
      <c r="IU7" s="113"/>
      <c r="IV7" s="113"/>
      <c r="IW7" s="113"/>
      <c r="IX7" s="113"/>
      <c r="IY7" s="113"/>
      <c r="IZ7" s="113"/>
      <c r="JA7" s="113"/>
      <c r="JB7" s="113"/>
      <c r="JC7" s="113"/>
      <c r="JD7" s="113"/>
      <c r="JE7" s="113"/>
      <c r="JF7" s="113"/>
      <c r="JG7" s="113"/>
      <c r="JH7" s="113"/>
      <c r="JI7" s="113"/>
      <c r="JJ7" s="113"/>
      <c r="JK7" s="109"/>
    </row>
    <row r="8" spans="2:271" ht="16" customHeight="1" thickBot="1" x14ac:dyDescent="0.25">
      <c r="B8" s="107"/>
      <c r="C8" s="300"/>
      <c r="D8" s="300"/>
      <c r="E8" s="300"/>
      <c r="F8" s="300"/>
      <c r="G8" s="300"/>
      <c r="H8" s="300"/>
      <c r="I8" s="182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4"/>
      <c r="AW8" s="114"/>
      <c r="AX8" s="114"/>
      <c r="AY8" s="114"/>
      <c r="AZ8" s="114"/>
      <c r="BA8" s="114"/>
      <c r="BB8" s="114"/>
      <c r="BC8" s="114"/>
      <c r="BD8" s="114"/>
      <c r="BE8" s="114"/>
      <c r="BF8" s="114"/>
      <c r="BG8" s="114"/>
      <c r="BH8" s="114"/>
      <c r="BI8" s="114"/>
      <c r="BJ8" s="114"/>
      <c r="BK8" s="114"/>
      <c r="BL8" s="114"/>
      <c r="BM8" s="114"/>
      <c r="BN8" s="114"/>
      <c r="BO8" s="114"/>
      <c r="BP8" s="114"/>
      <c r="BQ8" s="114"/>
      <c r="BR8" s="114"/>
      <c r="BS8" s="114"/>
      <c r="BT8" s="114"/>
      <c r="BU8" s="114"/>
      <c r="BV8" s="114"/>
      <c r="BW8" s="114"/>
      <c r="BX8" s="114"/>
      <c r="BY8" s="114"/>
      <c r="BZ8" s="114"/>
      <c r="CA8" s="114"/>
      <c r="CB8" s="114"/>
      <c r="CC8" s="114"/>
      <c r="CD8" s="114"/>
      <c r="CE8" s="114"/>
      <c r="CF8" s="114"/>
      <c r="CG8" s="114"/>
      <c r="CH8" s="114"/>
      <c r="CI8" s="114"/>
      <c r="CJ8" s="114"/>
      <c r="CK8" s="114"/>
      <c r="CL8" s="114"/>
      <c r="CM8" s="114"/>
      <c r="CN8" s="114"/>
      <c r="CO8" s="114"/>
      <c r="CP8" s="114"/>
      <c r="CQ8" s="114"/>
      <c r="CR8" s="114"/>
      <c r="CS8" s="114"/>
      <c r="CT8" s="114"/>
      <c r="CU8" s="114"/>
      <c r="CV8" s="114"/>
      <c r="CW8" s="114"/>
      <c r="CX8" s="114"/>
      <c r="CY8" s="114"/>
      <c r="CZ8" s="114"/>
      <c r="DA8" s="114"/>
      <c r="DB8" s="114"/>
      <c r="DC8" s="114"/>
      <c r="DD8" s="114"/>
      <c r="DE8" s="114"/>
      <c r="DF8" s="114"/>
      <c r="DG8" s="114"/>
      <c r="DH8" s="114"/>
      <c r="DI8" s="114"/>
      <c r="DJ8" s="114"/>
      <c r="DK8" s="114"/>
      <c r="DL8" s="114"/>
      <c r="DM8" s="114"/>
      <c r="DN8" s="114"/>
      <c r="DO8" s="114"/>
      <c r="DP8" s="114"/>
      <c r="DQ8" s="114"/>
      <c r="DR8" s="114"/>
      <c r="DS8" s="114"/>
      <c r="DT8" s="114"/>
      <c r="DU8" s="114"/>
      <c r="DV8" s="114"/>
      <c r="DW8" s="114"/>
      <c r="DX8" s="114"/>
      <c r="DY8" s="114"/>
      <c r="DZ8" s="114"/>
      <c r="EA8" s="114"/>
      <c r="EB8" s="114"/>
      <c r="EC8" s="114"/>
      <c r="ED8" s="114"/>
      <c r="EE8" s="114"/>
      <c r="EF8" s="114"/>
      <c r="EG8" s="114"/>
      <c r="EH8" s="114"/>
      <c r="EI8" s="114"/>
      <c r="EJ8" s="114"/>
      <c r="EK8" s="114"/>
      <c r="EL8" s="114"/>
      <c r="EM8" s="114"/>
      <c r="EN8" s="114"/>
      <c r="EO8" s="114"/>
      <c r="EP8" s="114"/>
      <c r="EQ8" s="114"/>
      <c r="ER8" s="114"/>
      <c r="ES8" s="114"/>
      <c r="ET8" s="114"/>
      <c r="EU8" s="114"/>
      <c r="EV8" s="114"/>
      <c r="EW8" s="114"/>
      <c r="EX8" s="114"/>
      <c r="EY8" s="114"/>
      <c r="EZ8" s="114"/>
      <c r="FA8" s="114"/>
      <c r="FB8" s="114"/>
      <c r="FC8" s="114"/>
      <c r="FD8" s="114"/>
      <c r="FE8" s="114"/>
      <c r="FF8" s="114"/>
      <c r="FG8" s="114"/>
      <c r="FH8" s="114"/>
      <c r="FI8" s="114"/>
      <c r="FJ8" s="114"/>
      <c r="FK8" s="114"/>
      <c r="FL8" s="114"/>
      <c r="FM8" s="114"/>
      <c r="FN8" s="114"/>
      <c r="FO8" s="114"/>
      <c r="FP8" s="114"/>
      <c r="FQ8" s="114"/>
      <c r="FR8" s="114"/>
      <c r="FS8" s="114"/>
      <c r="FT8" s="114"/>
      <c r="FU8" s="114"/>
      <c r="FV8" s="114"/>
      <c r="FW8" s="114"/>
      <c r="FX8" s="114"/>
      <c r="FY8" s="114"/>
      <c r="FZ8" s="114"/>
      <c r="GA8" s="114"/>
      <c r="GB8" s="114"/>
      <c r="GC8" s="114"/>
      <c r="GD8" s="114"/>
      <c r="GE8" s="114"/>
      <c r="GF8" s="114"/>
      <c r="GG8" s="114"/>
      <c r="GH8" s="114"/>
      <c r="GI8" s="114"/>
      <c r="GJ8" s="114"/>
      <c r="GK8" s="114"/>
      <c r="GL8" s="114"/>
      <c r="GM8" s="114"/>
      <c r="GN8" s="114"/>
      <c r="GO8" s="114"/>
      <c r="GP8" s="114"/>
      <c r="GQ8" s="114"/>
      <c r="GR8" s="114"/>
      <c r="GS8" s="114"/>
      <c r="GT8" s="114"/>
      <c r="GU8" s="114"/>
      <c r="GV8" s="114"/>
      <c r="GW8" s="114"/>
      <c r="GX8" s="114"/>
      <c r="GY8" s="114"/>
      <c r="GZ8" s="114"/>
      <c r="HA8" s="114"/>
      <c r="HB8" s="114"/>
      <c r="HC8" s="114"/>
      <c r="HD8" s="114"/>
      <c r="HE8" s="114"/>
      <c r="HF8" s="114"/>
      <c r="HG8" s="114"/>
      <c r="HH8" s="114"/>
      <c r="HI8" s="114"/>
      <c r="HJ8" s="114"/>
      <c r="HK8" s="114"/>
      <c r="HL8" s="114"/>
      <c r="HM8" s="114"/>
      <c r="HN8" s="114"/>
      <c r="HO8" s="114"/>
      <c r="HP8" s="114"/>
      <c r="HQ8" s="114"/>
      <c r="HR8" s="114"/>
      <c r="HS8" s="114"/>
      <c r="HT8" s="114"/>
      <c r="HU8" s="114"/>
      <c r="HV8" s="114"/>
      <c r="HW8" s="114"/>
      <c r="HX8" s="114"/>
      <c r="HY8" s="114"/>
      <c r="HZ8" s="114"/>
      <c r="IA8" s="114"/>
      <c r="IB8" s="114"/>
      <c r="IC8" s="114"/>
      <c r="ID8" s="114"/>
      <c r="IE8" s="114"/>
      <c r="IF8" s="114"/>
      <c r="IG8" s="114"/>
      <c r="IH8" s="114"/>
      <c r="II8" s="114"/>
      <c r="IJ8" s="114"/>
      <c r="IK8" s="114"/>
      <c r="IL8" s="114"/>
      <c r="IM8" s="114"/>
      <c r="IN8" s="114"/>
      <c r="IO8" s="114"/>
      <c r="IP8" s="114"/>
      <c r="IQ8" s="114"/>
      <c r="IR8" s="114"/>
      <c r="IS8" s="114"/>
      <c r="IT8" s="114"/>
      <c r="IU8" s="114"/>
      <c r="IV8" s="114"/>
      <c r="IW8" s="114"/>
      <c r="IX8" s="114"/>
      <c r="IY8" s="114"/>
      <c r="IZ8" s="114"/>
      <c r="JA8" s="114"/>
      <c r="JB8" s="114"/>
      <c r="JC8" s="114"/>
      <c r="JD8" s="114"/>
      <c r="JE8" s="114"/>
      <c r="JF8" s="114"/>
      <c r="JG8" s="114"/>
      <c r="JH8" s="114"/>
      <c r="JI8" s="114"/>
      <c r="JJ8" s="114"/>
      <c r="JK8" s="109"/>
    </row>
    <row r="9" spans="2:271" ht="18" customHeight="1" thickTop="1" thickBot="1" x14ac:dyDescent="0.25">
      <c r="B9" s="107"/>
      <c r="C9" s="7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1"/>
      <c r="JK9" s="109"/>
    </row>
    <row r="10" spans="2:271" ht="16" customHeight="1" thickBot="1" x14ac:dyDescent="0.25">
      <c r="B10" s="107"/>
      <c r="C10" s="194" t="s">
        <v>32</v>
      </c>
      <c r="D10" s="195"/>
      <c r="E10" s="194" t="s">
        <v>44</v>
      </c>
      <c r="F10" s="195"/>
      <c r="G10" s="194" t="s">
        <v>45</v>
      </c>
      <c r="H10" s="195"/>
      <c r="I10" s="12"/>
      <c r="J10" s="124" t="str">
        <f t="shared" ref="J10:BU10" si="0">TEXT(J11,"DDD")</f>
        <v>Wed</v>
      </c>
      <c r="K10" s="124" t="str">
        <f t="shared" si="0"/>
        <v>Thu</v>
      </c>
      <c r="L10" s="124" t="str">
        <f t="shared" si="0"/>
        <v>Fri</v>
      </c>
      <c r="M10" s="124" t="str">
        <f t="shared" si="0"/>
        <v>Mon</v>
      </c>
      <c r="N10" s="124" t="str">
        <f t="shared" si="0"/>
        <v>Tue</v>
      </c>
      <c r="O10" s="124" t="str">
        <f t="shared" si="0"/>
        <v>Wed</v>
      </c>
      <c r="P10" s="124" t="str">
        <f t="shared" si="0"/>
        <v>Thu</v>
      </c>
      <c r="Q10" s="124" t="str">
        <f t="shared" si="0"/>
        <v>Fri</v>
      </c>
      <c r="R10" s="124" t="str">
        <f t="shared" si="0"/>
        <v>Mon</v>
      </c>
      <c r="S10" s="124" t="str">
        <f t="shared" si="0"/>
        <v>Tue</v>
      </c>
      <c r="T10" s="124" t="str">
        <f t="shared" si="0"/>
        <v>Wed</v>
      </c>
      <c r="U10" s="124" t="str">
        <f t="shared" si="0"/>
        <v>Thu</v>
      </c>
      <c r="V10" s="124" t="str">
        <f t="shared" si="0"/>
        <v>Fri</v>
      </c>
      <c r="W10" s="124" t="str">
        <f t="shared" si="0"/>
        <v>Mon</v>
      </c>
      <c r="X10" s="124" t="str">
        <f t="shared" si="0"/>
        <v>Tue</v>
      </c>
      <c r="Y10" s="124" t="str">
        <f t="shared" si="0"/>
        <v>Wed</v>
      </c>
      <c r="Z10" s="124" t="str">
        <f t="shared" si="0"/>
        <v>Thu</v>
      </c>
      <c r="AA10" s="124" t="str">
        <f t="shared" si="0"/>
        <v>Fri</v>
      </c>
      <c r="AB10" s="124" t="str">
        <f t="shared" si="0"/>
        <v>Mon</v>
      </c>
      <c r="AC10" s="124" t="str">
        <f t="shared" si="0"/>
        <v>Tue</v>
      </c>
      <c r="AD10" s="124" t="str">
        <f t="shared" si="0"/>
        <v>Wed</v>
      </c>
      <c r="AE10" s="124" t="str">
        <f t="shared" si="0"/>
        <v>Thu</v>
      </c>
      <c r="AF10" s="124" t="str">
        <f t="shared" si="0"/>
        <v>Fri</v>
      </c>
      <c r="AG10" s="124" t="str">
        <f t="shared" si="0"/>
        <v>Mon</v>
      </c>
      <c r="AH10" s="124" t="str">
        <f t="shared" si="0"/>
        <v>Tue</v>
      </c>
      <c r="AI10" s="124" t="str">
        <f t="shared" si="0"/>
        <v>Wed</v>
      </c>
      <c r="AJ10" s="124" t="str">
        <f t="shared" si="0"/>
        <v>Thu</v>
      </c>
      <c r="AK10" s="124" t="str">
        <f t="shared" si="0"/>
        <v>Fri</v>
      </c>
      <c r="AL10" s="124" t="str">
        <f t="shared" si="0"/>
        <v>Mon</v>
      </c>
      <c r="AM10" s="124" t="str">
        <f t="shared" si="0"/>
        <v>Tue</v>
      </c>
      <c r="AN10" s="124" t="str">
        <f t="shared" si="0"/>
        <v>Wed</v>
      </c>
      <c r="AO10" s="124" t="str">
        <f t="shared" si="0"/>
        <v>Thu</v>
      </c>
      <c r="AP10" s="124" t="str">
        <f t="shared" si="0"/>
        <v>Fri</v>
      </c>
      <c r="AQ10" s="124" t="str">
        <f t="shared" si="0"/>
        <v>Mon</v>
      </c>
      <c r="AR10" s="124" t="str">
        <f t="shared" si="0"/>
        <v>Tue</v>
      </c>
      <c r="AS10" s="124" t="str">
        <f t="shared" si="0"/>
        <v>Wed</v>
      </c>
      <c r="AT10" s="124" t="str">
        <f t="shared" si="0"/>
        <v>Thu</v>
      </c>
      <c r="AU10" s="124" t="str">
        <f t="shared" si="0"/>
        <v>Fri</v>
      </c>
      <c r="AV10" s="124" t="str">
        <f t="shared" si="0"/>
        <v>Mon</v>
      </c>
      <c r="AW10" s="124" t="str">
        <f t="shared" si="0"/>
        <v>Tue</v>
      </c>
      <c r="AX10" s="124" t="str">
        <f t="shared" si="0"/>
        <v>Wed</v>
      </c>
      <c r="AY10" s="124" t="str">
        <f t="shared" si="0"/>
        <v>Thu</v>
      </c>
      <c r="AZ10" s="124" t="str">
        <f t="shared" si="0"/>
        <v>Fri</v>
      </c>
      <c r="BA10" s="124" t="str">
        <f t="shared" si="0"/>
        <v>Mon</v>
      </c>
      <c r="BB10" s="124" t="str">
        <f t="shared" si="0"/>
        <v>Tue</v>
      </c>
      <c r="BC10" s="124" t="str">
        <f t="shared" si="0"/>
        <v>Wed</v>
      </c>
      <c r="BD10" s="124" t="str">
        <f t="shared" si="0"/>
        <v>Thu</v>
      </c>
      <c r="BE10" s="124" t="str">
        <f t="shared" si="0"/>
        <v>Fri</v>
      </c>
      <c r="BF10" s="124" t="str">
        <f t="shared" si="0"/>
        <v>Mon</v>
      </c>
      <c r="BG10" s="124" t="str">
        <f t="shared" si="0"/>
        <v>Tue</v>
      </c>
      <c r="BH10" s="124" t="str">
        <f t="shared" si="0"/>
        <v>Wed</v>
      </c>
      <c r="BI10" s="124" t="str">
        <f t="shared" si="0"/>
        <v>Thu</v>
      </c>
      <c r="BJ10" s="124" t="str">
        <f t="shared" si="0"/>
        <v>Fri</v>
      </c>
      <c r="BK10" s="124" t="str">
        <f t="shared" si="0"/>
        <v>Mon</v>
      </c>
      <c r="BL10" s="124" t="str">
        <f t="shared" si="0"/>
        <v>Tue</v>
      </c>
      <c r="BM10" s="124" t="str">
        <f t="shared" si="0"/>
        <v>Wed</v>
      </c>
      <c r="BN10" s="124" t="str">
        <f t="shared" si="0"/>
        <v>Thu</v>
      </c>
      <c r="BO10" s="124" t="str">
        <f t="shared" si="0"/>
        <v>Fri</v>
      </c>
      <c r="BP10" s="124" t="str">
        <f t="shared" si="0"/>
        <v>Mon</v>
      </c>
      <c r="BQ10" s="124" t="str">
        <f t="shared" si="0"/>
        <v>Tue</v>
      </c>
      <c r="BR10" s="124" t="str">
        <f t="shared" si="0"/>
        <v>Wed</v>
      </c>
      <c r="BS10" s="124" t="str">
        <f t="shared" si="0"/>
        <v>Thu</v>
      </c>
      <c r="BT10" s="124" t="str">
        <f t="shared" si="0"/>
        <v>Fri</v>
      </c>
      <c r="BU10" s="124" t="str">
        <f t="shared" si="0"/>
        <v>Mon</v>
      </c>
      <c r="BV10" s="124" t="str">
        <f t="shared" ref="BV10:EG10" si="1">TEXT(BV11,"DDD")</f>
        <v>Tue</v>
      </c>
      <c r="BW10" s="124" t="str">
        <f t="shared" si="1"/>
        <v>Wed</v>
      </c>
      <c r="BX10" s="124" t="str">
        <f t="shared" si="1"/>
        <v>Thu</v>
      </c>
      <c r="BY10" s="124" t="str">
        <f t="shared" si="1"/>
        <v>Fri</v>
      </c>
      <c r="BZ10" s="124" t="str">
        <f t="shared" si="1"/>
        <v>Mon</v>
      </c>
      <c r="CA10" s="124" t="str">
        <f t="shared" si="1"/>
        <v>Tue</v>
      </c>
      <c r="CB10" s="124" t="str">
        <f t="shared" si="1"/>
        <v>Wed</v>
      </c>
      <c r="CC10" s="124" t="str">
        <f t="shared" si="1"/>
        <v>Thu</v>
      </c>
      <c r="CD10" s="124" t="str">
        <f t="shared" si="1"/>
        <v>Fri</v>
      </c>
      <c r="CE10" s="124" t="str">
        <f t="shared" si="1"/>
        <v>Mon</v>
      </c>
      <c r="CF10" s="124" t="str">
        <f t="shared" si="1"/>
        <v>Tue</v>
      </c>
      <c r="CG10" s="124" t="str">
        <f t="shared" si="1"/>
        <v>Wed</v>
      </c>
      <c r="CH10" s="124" t="str">
        <f t="shared" si="1"/>
        <v>Thu</v>
      </c>
      <c r="CI10" s="124" t="str">
        <f t="shared" si="1"/>
        <v>Fri</v>
      </c>
      <c r="CJ10" s="124" t="str">
        <f t="shared" si="1"/>
        <v>Mon</v>
      </c>
      <c r="CK10" s="124" t="str">
        <f t="shared" si="1"/>
        <v>Tue</v>
      </c>
      <c r="CL10" s="124" t="str">
        <f t="shared" si="1"/>
        <v>Wed</v>
      </c>
      <c r="CM10" s="124" t="str">
        <f t="shared" si="1"/>
        <v>Thu</v>
      </c>
      <c r="CN10" s="124" t="str">
        <f t="shared" si="1"/>
        <v>Fri</v>
      </c>
      <c r="CO10" s="124" t="str">
        <f t="shared" si="1"/>
        <v>Mon</v>
      </c>
      <c r="CP10" s="124" t="str">
        <f t="shared" si="1"/>
        <v>Tue</v>
      </c>
      <c r="CQ10" s="124" t="str">
        <f t="shared" si="1"/>
        <v>Wed</v>
      </c>
      <c r="CR10" s="124" t="str">
        <f t="shared" si="1"/>
        <v>Thu</v>
      </c>
      <c r="CS10" s="124" t="str">
        <f t="shared" si="1"/>
        <v>Fri</v>
      </c>
      <c r="CT10" s="124" t="str">
        <f t="shared" si="1"/>
        <v>Mon</v>
      </c>
      <c r="CU10" s="124" t="str">
        <f t="shared" si="1"/>
        <v>Tue</v>
      </c>
      <c r="CV10" s="124" t="str">
        <f t="shared" si="1"/>
        <v>Wed</v>
      </c>
      <c r="CW10" s="124" t="str">
        <f t="shared" si="1"/>
        <v>Thu</v>
      </c>
      <c r="CX10" s="124" t="str">
        <f t="shared" si="1"/>
        <v>Fri</v>
      </c>
      <c r="CY10" s="124" t="str">
        <f t="shared" si="1"/>
        <v>Mon</v>
      </c>
      <c r="CZ10" s="124" t="str">
        <f t="shared" si="1"/>
        <v>Tue</v>
      </c>
      <c r="DA10" s="124" t="str">
        <f t="shared" si="1"/>
        <v>Wed</v>
      </c>
      <c r="DB10" s="124" t="str">
        <f t="shared" si="1"/>
        <v>Thu</v>
      </c>
      <c r="DC10" s="124" t="str">
        <f t="shared" si="1"/>
        <v>Fri</v>
      </c>
      <c r="DD10" s="124" t="str">
        <f t="shared" si="1"/>
        <v>Mon</v>
      </c>
      <c r="DE10" s="124" t="str">
        <f t="shared" si="1"/>
        <v>Tue</v>
      </c>
      <c r="DF10" s="124" t="str">
        <f t="shared" si="1"/>
        <v>Wed</v>
      </c>
      <c r="DG10" s="124" t="str">
        <f t="shared" si="1"/>
        <v>Thu</v>
      </c>
      <c r="DH10" s="124" t="str">
        <f t="shared" si="1"/>
        <v>Fri</v>
      </c>
      <c r="DI10" s="124" t="str">
        <f t="shared" si="1"/>
        <v>Mon</v>
      </c>
      <c r="DJ10" s="124" t="str">
        <f t="shared" si="1"/>
        <v>Tue</v>
      </c>
      <c r="DK10" s="124" t="str">
        <f t="shared" si="1"/>
        <v>Wed</v>
      </c>
      <c r="DL10" s="124" t="str">
        <f t="shared" si="1"/>
        <v>Thu</v>
      </c>
      <c r="DM10" s="124" t="str">
        <f t="shared" si="1"/>
        <v>Fri</v>
      </c>
      <c r="DN10" s="124" t="str">
        <f t="shared" si="1"/>
        <v>Mon</v>
      </c>
      <c r="DO10" s="124" t="str">
        <f t="shared" si="1"/>
        <v>Tue</v>
      </c>
      <c r="DP10" s="124" t="str">
        <f t="shared" si="1"/>
        <v>Wed</v>
      </c>
      <c r="DQ10" s="124" t="str">
        <f t="shared" si="1"/>
        <v>Thu</v>
      </c>
      <c r="DR10" s="124" t="str">
        <f t="shared" si="1"/>
        <v>Fri</v>
      </c>
      <c r="DS10" s="124" t="str">
        <f t="shared" si="1"/>
        <v>Mon</v>
      </c>
      <c r="DT10" s="124" t="str">
        <f t="shared" si="1"/>
        <v>Tue</v>
      </c>
      <c r="DU10" s="124" t="str">
        <f t="shared" si="1"/>
        <v>Wed</v>
      </c>
      <c r="DV10" s="124" t="str">
        <f t="shared" si="1"/>
        <v>Thu</v>
      </c>
      <c r="DW10" s="124" t="str">
        <f t="shared" si="1"/>
        <v>Fri</v>
      </c>
      <c r="DX10" s="124" t="str">
        <f t="shared" si="1"/>
        <v>Mon</v>
      </c>
      <c r="DY10" s="124" t="str">
        <f t="shared" si="1"/>
        <v>Tue</v>
      </c>
      <c r="DZ10" s="124" t="str">
        <f t="shared" si="1"/>
        <v>Wed</v>
      </c>
      <c r="EA10" s="124" t="str">
        <f t="shared" si="1"/>
        <v>Thu</v>
      </c>
      <c r="EB10" s="124" t="str">
        <f t="shared" si="1"/>
        <v>Fri</v>
      </c>
      <c r="EC10" s="124" t="str">
        <f t="shared" si="1"/>
        <v>Mon</v>
      </c>
      <c r="ED10" s="124" t="str">
        <f t="shared" si="1"/>
        <v>Tue</v>
      </c>
      <c r="EE10" s="124" t="str">
        <f t="shared" si="1"/>
        <v>Wed</v>
      </c>
      <c r="EF10" s="124" t="str">
        <f t="shared" si="1"/>
        <v>Thu</v>
      </c>
      <c r="EG10" s="124" t="str">
        <f t="shared" si="1"/>
        <v>Fri</v>
      </c>
      <c r="EH10" s="124" t="str">
        <f t="shared" ref="EH10:GS10" si="2">TEXT(EH11,"DDD")</f>
        <v>Mon</v>
      </c>
      <c r="EI10" s="124" t="str">
        <f t="shared" si="2"/>
        <v>Tue</v>
      </c>
      <c r="EJ10" s="124" t="str">
        <f t="shared" si="2"/>
        <v>Wed</v>
      </c>
      <c r="EK10" s="124" t="str">
        <f t="shared" si="2"/>
        <v>Thu</v>
      </c>
      <c r="EL10" s="124" t="str">
        <f t="shared" si="2"/>
        <v>Fri</v>
      </c>
      <c r="EM10" s="124" t="str">
        <f t="shared" si="2"/>
        <v>Mon</v>
      </c>
      <c r="EN10" s="124" t="str">
        <f t="shared" si="2"/>
        <v>Tue</v>
      </c>
      <c r="EO10" s="124" t="str">
        <f t="shared" si="2"/>
        <v>Wed</v>
      </c>
      <c r="EP10" s="124" t="str">
        <f t="shared" si="2"/>
        <v>Thu</v>
      </c>
      <c r="EQ10" s="124" t="str">
        <f t="shared" si="2"/>
        <v>Fri</v>
      </c>
      <c r="ER10" s="124" t="str">
        <f t="shared" si="2"/>
        <v>Mon</v>
      </c>
      <c r="ES10" s="124" t="str">
        <f t="shared" si="2"/>
        <v>Tue</v>
      </c>
      <c r="ET10" s="124" t="str">
        <f t="shared" si="2"/>
        <v>Wed</v>
      </c>
      <c r="EU10" s="124" t="str">
        <f t="shared" si="2"/>
        <v>Thu</v>
      </c>
      <c r="EV10" s="124" t="str">
        <f t="shared" si="2"/>
        <v>Fri</v>
      </c>
      <c r="EW10" s="124" t="str">
        <f t="shared" si="2"/>
        <v>Mon</v>
      </c>
      <c r="EX10" s="124" t="str">
        <f t="shared" si="2"/>
        <v>Tue</v>
      </c>
      <c r="EY10" s="124" t="str">
        <f t="shared" si="2"/>
        <v>Wed</v>
      </c>
      <c r="EZ10" s="124" t="str">
        <f t="shared" si="2"/>
        <v>Thu</v>
      </c>
      <c r="FA10" s="124" t="str">
        <f t="shared" si="2"/>
        <v>Fri</v>
      </c>
      <c r="FB10" s="124" t="str">
        <f t="shared" si="2"/>
        <v>Mon</v>
      </c>
      <c r="FC10" s="124" t="str">
        <f t="shared" si="2"/>
        <v>Tue</v>
      </c>
      <c r="FD10" s="124" t="str">
        <f t="shared" si="2"/>
        <v>Wed</v>
      </c>
      <c r="FE10" s="124" t="str">
        <f t="shared" si="2"/>
        <v>Thu</v>
      </c>
      <c r="FF10" s="124" t="str">
        <f t="shared" si="2"/>
        <v>Fri</v>
      </c>
      <c r="FG10" s="124" t="str">
        <f t="shared" si="2"/>
        <v>Mon</v>
      </c>
      <c r="FH10" s="124" t="str">
        <f t="shared" si="2"/>
        <v>Tue</v>
      </c>
      <c r="FI10" s="124" t="str">
        <f t="shared" si="2"/>
        <v>Wed</v>
      </c>
      <c r="FJ10" s="124" t="str">
        <f t="shared" si="2"/>
        <v>Thu</v>
      </c>
      <c r="FK10" s="124" t="str">
        <f t="shared" si="2"/>
        <v>Fri</v>
      </c>
      <c r="FL10" s="124" t="str">
        <f t="shared" si="2"/>
        <v>Mon</v>
      </c>
      <c r="FM10" s="124" t="str">
        <f t="shared" si="2"/>
        <v>Tue</v>
      </c>
      <c r="FN10" s="124" t="str">
        <f t="shared" si="2"/>
        <v>Wed</v>
      </c>
      <c r="FO10" s="124" t="str">
        <f t="shared" si="2"/>
        <v>Thu</v>
      </c>
      <c r="FP10" s="124" t="str">
        <f t="shared" si="2"/>
        <v>Fri</v>
      </c>
      <c r="FQ10" s="124" t="str">
        <f t="shared" si="2"/>
        <v>Mon</v>
      </c>
      <c r="FR10" s="124" t="str">
        <f t="shared" si="2"/>
        <v>Tue</v>
      </c>
      <c r="FS10" s="124" t="str">
        <f t="shared" si="2"/>
        <v>Wed</v>
      </c>
      <c r="FT10" s="124" t="str">
        <f t="shared" si="2"/>
        <v>Thu</v>
      </c>
      <c r="FU10" s="124" t="str">
        <f t="shared" si="2"/>
        <v>Fri</v>
      </c>
      <c r="FV10" s="124" t="str">
        <f t="shared" si="2"/>
        <v>Mon</v>
      </c>
      <c r="FW10" s="124" t="str">
        <f t="shared" si="2"/>
        <v>Tue</v>
      </c>
      <c r="FX10" s="124" t="str">
        <f t="shared" si="2"/>
        <v>Wed</v>
      </c>
      <c r="FY10" s="124" t="str">
        <f t="shared" si="2"/>
        <v>Thu</v>
      </c>
      <c r="FZ10" s="124" t="str">
        <f t="shared" si="2"/>
        <v>Fri</v>
      </c>
      <c r="GA10" s="124" t="str">
        <f t="shared" si="2"/>
        <v>Mon</v>
      </c>
      <c r="GB10" s="124" t="str">
        <f t="shared" si="2"/>
        <v>Tue</v>
      </c>
      <c r="GC10" s="124" t="str">
        <f t="shared" si="2"/>
        <v>Wed</v>
      </c>
      <c r="GD10" s="124" t="str">
        <f t="shared" si="2"/>
        <v>Thu</v>
      </c>
      <c r="GE10" s="124" t="str">
        <f t="shared" si="2"/>
        <v>Fri</v>
      </c>
      <c r="GF10" s="124" t="str">
        <f t="shared" si="2"/>
        <v>Mon</v>
      </c>
      <c r="GG10" s="124" t="str">
        <f t="shared" si="2"/>
        <v>Tue</v>
      </c>
      <c r="GH10" s="124" t="str">
        <f t="shared" si="2"/>
        <v>Wed</v>
      </c>
      <c r="GI10" s="124" t="str">
        <f t="shared" si="2"/>
        <v>Thu</v>
      </c>
      <c r="GJ10" s="124" t="str">
        <f t="shared" si="2"/>
        <v>Fri</v>
      </c>
      <c r="GK10" s="124" t="str">
        <f t="shared" si="2"/>
        <v>Mon</v>
      </c>
      <c r="GL10" s="124" t="str">
        <f t="shared" si="2"/>
        <v>Tue</v>
      </c>
      <c r="GM10" s="124" t="str">
        <f t="shared" si="2"/>
        <v>Wed</v>
      </c>
      <c r="GN10" s="124" t="str">
        <f t="shared" si="2"/>
        <v>Thu</v>
      </c>
      <c r="GO10" s="124" t="str">
        <f t="shared" si="2"/>
        <v>Fri</v>
      </c>
      <c r="GP10" s="124" t="str">
        <f t="shared" si="2"/>
        <v>Mon</v>
      </c>
      <c r="GQ10" s="124" t="str">
        <f t="shared" si="2"/>
        <v>Tue</v>
      </c>
      <c r="GR10" s="124" t="str">
        <f t="shared" si="2"/>
        <v>Wed</v>
      </c>
      <c r="GS10" s="124" t="str">
        <f t="shared" si="2"/>
        <v>Thu</v>
      </c>
      <c r="GT10" s="124" t="str">
        <f t="shared" ref="GT10:JE10" si="3">TEXT(GT11,"DDD")</f>
        <v>Fri</v>
      </c>
      <c r="GU10" s="124" t="str">
        <f t="shared" si="3"/>
        <v>Mon</v>
      </c>
      <c r="GV10" s="124" t="str">
        <f t="shared" si="3"/>
        <v>Tue</v>
      </c>
      <c r="GW10" s="124" t="str">
        <f t="shared" si="3"/>
        <v>Wed</v>
      </c>
      <c r="GX10" s="124" t="str">
        <f t="shared" si="3"/>
        <v>Thu</v>
      </c>
      <c r="GY10" s="124" t="str">
        <f t="shared" si="3"/>
        <v>Fri</v>
      </c>
      <c r="GZ10" s="124" t="str">
        <f t="shared" si="3"/>
        <v>Mon</v>
      </c>
      <c r="HA10" s="124" t="str">
        <f t="shared" si="3"/>
        <v>Tue</v>
      </c>
      <c r="HB10" s="124" t="str">
        <f t="shared" si="3"/>
        <v>Wed</v>
      </c>
      <c r="HC10" s="124" t="str">
        <f t="shared" si="3"/>
        <v>Thu</v>
      </c>
      <c r="HD10" s="124" t="str">
        <f t="shared" si="3"/>
        <v>Fri</v>
      </c>
      <c r="HE10" s="124" t="str">
        <f t="shared" si="3"/>
        <v>Mon</v>
      </c>
      <c r="HF10" s="124" t="str">
        <f t="shared" si="3"/>
        <v>Tue</v>
      </c>
      <c r="HG10" s="124" t="str">
        <f t="shared" si="3"/>
        <v>Wed</v>
      </c>
      <c r="HH10" s="124" t="str">
        <f t="shared" si="3"/>
        <v>Thu</v>
      </c>
      <c r="HI10" s="124" t="str">
        <f t="shared" si="3"/>
        <v>Fri</v>
      </c>
      <c r="HJ10" s="124" t="str">
        <f t="shared" si="3"/>
        <v>Mon</v>
      </c>
      <c r="HK10" s="124" t="str">
        <f t="shared" si="3"/>
        <v>Tue</v>
      </c>
      <c r="HL10" s="124" t="str">
        <f t="shared" si="3"/>
        <v>Wed</v>
      </c>
      <c r="HM10" s="124" t="str">
        <f t="shared" si="3"/>
        <v>Thu</v>
      </c>
      <c r="HN10" s="124" t="str">
        <f t="shared" si="3"/>
        <v>Fri</v>
      </c>
      <c r="HO10" s="124" t="str">
        <f t="shared" si="3"/>
        <v>Mon</v>
      </c>
      <c r="HP10" s="124" t="str">
        <f t="shared" si="3"/>
        <v>Tue</v>
      </c>
      <c r="HQ10" s="124" t="str">
        <f t="shared" si="3"/>
        <v>Wed</v>
      </c>
      <c r="HR10" s="124" t="str">
        <f t="shared" si="3"/>
        <v>Thu</v>
      </c>
      <c r="HS10" s="124" t="str">
        <f t="shared" si="3"/>
        <v>Fri</v>
      </c>
      <c r="HT10" s="124" t="str">
        <f t="shared" si="3"/>
        <v>Mon</v>
      </c>
      <c r="HU10" s="124" t="str">
        <f t="shared" si="3"/>
        <v>Tue</v>
      </c>
      <c r="HV10" s="124" t="str">
        <f t="shared" si="3"/>
        <v>Wed</v>
      </c>
      <c r="HW10" s="124" t="str">
        <f t="shared" si="3"/>
        <v>Thu</v>
      </c>
      <c r="HX10" s="124" t="str">
        <f t="shared" si="3"/>
        <v>Fri</v>
      </c>
      <c r="HY10" s="124" t="str">
        <f t="shared" si="3"/>
        <v>Mon</v>
      </c>
      <c r="HZ10" s="124" t="str">
        <f t="shared" si="3"/>
        <v>Tue</v>
      </c>
      <c r="IA10" s="124" t="str">
        <f t="shared" si="3"/>
        <v>Wed</v>
      </c>
      <c r="IB10" s="124" t="str">
        <f t="shared" si="3"/>
        <v>Thu</v>
      </c>
      <c r="IC10" s="124" t="str">
        <f t="shared" si="3"/>
        <v>Fri</v>
      </c>
      <c r="ID10" s="124" t="str">
        <f t="shared" si="3"/>
        <v>Mon</v>
      </c>
      <c r="IE10" s="124" t="str">
        <f t="shared" si="3"/>
        <v>Tue</v>
      </c>
      <c r="IF10" s="124" t="str">
        <f t="shared" si="3"/>
        <v>Wed</v>
      </c>
      <c r="IG10" s="124" t="str">
        <f t="shared" si="3"/>
        <v>Thu</v>
      </c>
      <c r="IH10" s="124" t="str">
        <f t="shared" si="3"/>
        <v>Fri</v>
      </c>
      <c r="II10" s="124" t="str">
        <f t="shared" si="3"/>
        <v>Mon</v>
      </c>
      <c r="IJ10" s="124" t="str">
        <f t="shared" si="3"/>
        <v>Tue</v>
      </c>
      <c r="IK10" s="124" t="str">
        <f t="shared" si="3"/>
        <v>Wed</v>
      </c>
      <c r="IL10" s="124" t="str">
        <f t="shared" si="3"/>
        <v>Thu</v>
      </c>
      <c r="IM10" s="124" t="str">
        <f t="shared" si="3"/>
        <v>Fri</v>
      </c>
      <c r="IN10" s="124" t="str">
        <f t="shared" si="3"/>
        <v>Mon</v>
      </c>
      <c r="IO10" s="124" t="str">
        <f t="shared" si="3"/>
        <v>Tue</v>
      </c>
      <c r="IP10" s="124" t="str">
        <f t="shared" si="3"/>
        <v>Wed</v>
      </c>
      <c r="IQ10" s="124" t="str">
        <f t="shared" si="3"/>
        <v>Thu</v>
      </c>
      <c r="IR10" s="124" t="str">
        <f t="shared" si="3"/>
        <v>Fri</v>
      </c>
      <c r="IS10" s="124" t="str">
        <f t="shared" si="3"/>
        <v>Mon</v>
      </c>
      <c r="IT10" s="124" t="str">
        <f t="shared" si="3"/>
        <v>Tue</v>
      </c>
      <c r="IU10" s="124" t="str">
        <f t="shared" si="3"/>
        <v>Wed</v>
      </c>
      <c r="IV10" s="124" t="str">
        <f t="shared" si="3"/>
        <v>Thu</v>
      </c>
      <c r="IW10" s="124" t="str">
        <f t="shared" si="3"/>
        <v>Fri</v>
      </c>
      <c r="IX10" s="124" t="str">
        <f t="shared" si="3"/>
        <v>Mon</v>
      </c>
      <c r="IY10" s="124" t="str">
        <f t="shared" si="3"/>
        <v>Tue</v>
      </c>
      <c r="IZ10" s="124" t="str">
        <f t="shared" si="3"/>
        <v>Wed</v>
      </c>
      <c r="JA10" s="124" t="str">
        <f t="shared" si="3"/>
        <v>Thu</v>
      </c>
      <c r="JB10" s="124" t="str">
        <f t="shared" si="3"/>
        <v>Fri</v>
      </c>
      <c r="JC10" s="124" t="str">
        <f t="shared" si="3"/>
        <v>Mon</v>
      </c>
      <c r="JD10" s="124" t="str">
        <f t="shared" si="3"/>
        <v>Tue</v>
      </c>
      <c r="JE10" s="124" t="str">
        <f t="shared" si="3"/>
        <v>Wed</v>
      </c>
      <c r="JF10" s="124" t="str">
        <f t="shared" ref="JF10:JJ10" si="4">TEXT(JF11,"DDD")</f>
        <v>Thu</v>
      </c>
      <c r="JG10" s="124" t="str">
        <f t="shared" si="4"/>
        <v>Fri</v>
      </c>
      <c r="JH10" s="124" t="str">
        <f t="shared" si="4"/>
        <v>Mon</v>
      </c>
      <c r="JI10" s="124" t="str">
        <f t="shared" si="4"/>
        <v>Tue</v>
      </c>
      <c r="JJ10" s="124" t="str">
        <f t="shared" si="4"/>
        <v>Wed</v>
      </c>
      <c r="JK10" s="109"/>
    </row>
    <row r="11" spans="2:271" ht="16" customHeight="1" thickBot="1" x14ac:dyDescent="0.25">
      <c r="B11" s="107"/>
      <c r="C11" s="196"/>
      <c r="D11" s="197"/>
      <c r="E11" s="196"/>
      <c r="F11" s="197"/>
      <c r="G11" s="196"/>
      <c r="H11" s="197"/>
      <c r="I11" s="14"/>
      <c r="J11" s="184">
        <v>45658</v>
      </c>
      <c r="K11" s="184">
        <f>IF(TEXT(J11,"DDD")="Sat",J11+3,IF(TEXT(J11,"DDD")="Sun",J11+2,J11+1))</f>
        <v>45659</v>
      </c>
      <c r="L11" s="184">
        <f>IF(TEXT(K11,"DDD")="Sat",K11+3,IF(TEXT(K11,"DDD")="Sun",K11+2,K11+1))</f>
        <v>45660</v>
      </c>
      <c r="M11" s="184">
        <f t="shared" ref="M11:BX11" si="5">IF(TEXT(L11,"DDD")="Fri",L11+3,IF(TEXT(L11,"DDD")="Sat",L11+2,L11+1))</f>
        <v>45663</v>
      </c>
      <c r="N11" s="184">
        <f t="shared" si="5"/>
        <v>45664</v>
      </c>
      <c r="O11" s="184">
        <f t="shared" si="5"/>
        <v>45665</v>
      </c>
      <c r="P11" s="184">
        <f t="shared" si="5"/>
        <v>45666</v>
      </c>
      <c r="Q11" s="184">
        <f t="shared" si="5"/>
        <v>45667</v>
      </c>
      <c r="R11" s="184">
        <f t="shared" si="5"/>
        <v>45670</v>
      </c>
      <c r="S11" s="184">
        <f t="shared" si="5"/>
        <v>45671</v>
      </c>
      <c r="T11" s="184">
        <f t="shared" si="5"/>
        <v>45672</v>
      </c>
      <c r="U11" s="184">
        <f t="shared" si="5"/>
        <v>45673</v>
      </c>
      <c r="V11" s="184">
        <f t="shared" si="5"/>
        <v>45674</v>
      </c>
      <c r="W11" s="184">
        <f t="shared" si="5"/>
        <v>45677</v>
      </c>
      <c r="X11" s="184">
        <f t="shared" si="5"/>
        <v>45678</v>
      </c>
      <c r="Y11" s="184">
        <f t="shared" si="5"/>
        <v>45679</v>
      </c>
      <c r="Z11" s="184">
        <f t="shared" si="5"/>
        <v>45680</v>
      </c>
      <c r="AA11" s="184">
        <f t="shared" si="5"/>
        <v>45681</v>
      </c>
      <c r="AB11" s="184">
        <f t="shared" si="5"/>
        <v>45684</v>
      </c>
      <c r="AC11" s="184">
        <f t="shared" si="5"/>
        <v>45685</v>
      </c>
      <c r="AD11" s="184">
        <f t="shared" si="5"/>
        <v>45686</v>
      </c>
      <c r="AE11" s="184">
        <f t="shared" si="5"/>
        <v>45687</v>
      </c>
      <c r="AF11" s="184">
        <f t="shared" si="5"/>
        <v>45688</v>
      </c>
      <c r="AG11" s="184">
        <f t="shared" si="5"/>
        <v>45691</v>
      </c>
      <c r="AH11" s="184">
        <f t="shared" si="5"/>
        <v>45692</v>
      </c>
      <c r="AI11" s="184">
        <f t="shared" si="5"/>
        <v>45693</v>
      </c>
      <c r="AJ11" s="184">
        <f t="shared" si="5"/>
        <v>45694</v>
      </c>
      <c r="AK11" s="184">
        <f t="shared" si="5"/>
        <v>45695</v>
      </c>
      <c r="AL11" s="184">
        <f t="shared" si="5"/>
        <v>45698</v>
      </c>
      <c r="AM11" s="184">
        <f t="shared" si="5"/>
        <v>45699</v>
      </c>
      <c r="AN11" s="184">
        <f t="shared" si="5"/>
        <v>45700</v>
      </c>
      <c r="AO11" s="184">
        <f t="shared" si="5"/>
        <v>45701</v>
      </c>
      <c r="AP11" s="184">
        <f t="shared" si="5"/>
        <v>45702</v>
      </c>
      <c r="AQ11" s="184">
        <f t="shared" si="5"/>
        <v>45705</v>
      </c>
      <c r="AR11" s="184">
        <f t="shared" si="5"/>
        <v>45706</v>
      </c>
      <c r="AS11" s="184">
        <f t="shared" si="5"/>
        <v>45707</v>
      </c>
      <c r="AT11" s="184">
        <f t="shared" si="5"/>
        <v>45708</v>
      </c>
      <c r="AU11" s="184">
        <f t="shared" si="5"/>
        <v>45709</v>
      </c>
      <c r="AV11" s="184">
        <f t="shared" si="5"/>
        <v>45712</v>
      </c>
      <c r="AW11" s="184">
        <f t="shared" si="5"/>
        <v>45713</v>
      </c>
      <c r="AX11" s="184">
        <f t="shared" si="5"/>
        <v>45714</v>
      </c>
      <c r="AY11" s="184">
        <f t="shared" si="5"/>
        <v>45715</v>
      </c>
      <c r="AZ11" s="184">
        <f t="shared" si="5"/>
        <v>45716</v>
      </c>
      <c r="BA11" s="184">
        <f t="shared" si="5"/>
        <v>45719</v>
      </c>
      <c r="BB11" s="184">
        <f t="shared" si="5"/>
        <v>45720</v>
      </c>
      <c r="BC11" s="184">
        <f t="shared" si="5"/>
        <v>45721</v>
      </c>
      <c r="BD11" s="184">
        <f t="shared" si="5"/>
        <v>45722</v>
      </c>
      <c r="BE11" s="184">
        <f t="shared" si="5"/>
        <v>45723</v>
      </c>
      <c r="BF11" s="184">
        <f t="shared" si="5"/>
        <v>45726</v>
      </c>
      <c r="BG11" s="184">
        <f t="shared" si="5"/>
        <v>45727</v>
      </c>
      <c r="BH11" s="184">
        <f t="shared" si="5"/>
        <v>45728</v>
      </c>
      <c r="BI11" s="184">
        <f t="shared" si="5"/>
        <v>45729</v>
      </c>
      <c r="BJ11" s="184">
        <f t="shared" si="5"/>
        <v>45730</v>
      </c>
      <c r="BK11" s="184">
        <f t="shared" si="5"/>
        <v>45733</v>
      </c>
      <c r="BL11" s="184">
        <f t="shared" si="5"/>
        <v>45734</v>
      </c>
      <c r="BM11" s="184">
        <f t="shared" si="5"/>
        <v>45735</v>
      </c>
      <c r="BN11" s="184">
        <f t="shared" si="5"/>
        <v>45736</v>
      </c>
      <c r="BO11" s="184">
        <f t="shared" si="5"/>
        <v>45737</v>
      </c>
      <c r="BP11" s="184">
        <f t="shared" si="5"/>
        <v>45740</v>
      </c>
      <c r="BQ11" s="184">
        <f t="shared" si="5"/>
        <v>45741</v>
      </c>
      <c r="BR11" s="184">
        <f t="shared" si="5"/>
        <v>45742</v>
      </c>
      <c r="BS11" s="184">
        <f t="shared" si="5"/>
        <v>45743</v>
      </c>
      <c r="BT11" s="184">
        <f t="shared" si="5"/>
        <v>45744</v>
      </c>
      <c r="BU11" s="184">
        <f t="shared" si="5"/>
        <v>45747</v>
      </c>
      <c r="BV11" s="184">
        <f t="shared" si="5"/>
        <v>45748</v>
      </c>
      <c r="BW11" s="184">
        <f t="shared" si="5"/>
        <v>45749</v>
      </c>
      <c r="BX11" s="184">
        <f t="shared" si="5"/>
        <v>45750</v>
      </c>
      <c r="BY11" s="184">
        <f t="shared" ref="BY11:EJ11" si="6">IF(TEXT(BX11,"DDD")="Fri",BX11+3,IF(TEXT(BX11,"DDD")="Sat",BX11+2,BX11+1))</f>
        <v>45751</v>
      </c>
      <c r="BZ11" s="184">
        <f t="shared" si="6"/>
        <v>45754</v>
      </c>
      <c r="CA11" s="184">
        <f t="shared" si="6"/>
        <v>45755</v>
      </c>
      <c r="CB11" s="184">
        <f t="shared" si="6"/>
        <v>45756</v>
      </c>
      <c r="CC11" s="184">
        <f t="shared" si="6"/>
        <v>45757</v>
      </c>
      <c r="CD11" s="184">
        <f t="shared" si="6"/>
        <v>45758</v>
      </c>
      <c r="CE11" s="184">
        <f t="shared" si="6"/>
        <v>45761</v>
      </c>
      <c r="CF11" s="184">
        <f t="shared" si="6"/>
        <v>45762</v>
      </c>
      <c r="CG11" s="184">
        <f t="shared" si="6"/>
        <v>45763</v>
      </c>
      <c r="CH11" s="184">
        <f t="shared" si="6"/>
        <v>45764</v>
      </c>
      <c r="CI11" s="184">
        <f t="shared" si="6"/>
        <v>45765</v>
      </c>
      <c r="CJ11" s="184">
        <f t="shared" si="6"/>
        <v>45768</v>
      </c>
      <c r="CK11" s="184">
        <f t="shared" si="6"/>
        <v>45769</v>
      </c>
      <c r="CL11" s="184">
        <f t="shared" si="6"/>
        <v>45770</v>
      </c>
      <c r="CM11" s="184">
        <f t="shared" si="6"/>
        <v>45771</v>
      </c>
      <c r="CN11" s="184">
        <f t="shared" si="6"/>
        <v>45772</v>
      </c>
      <c r="CO11" s="184">
        <f t="shared" si="6"/>
        <v>45775</v>
      </c>
      <c r="CP11" s="184">
        <f t="shared" si="6"/>
        <v>45776</v>
      </c>
      <c r="CQ11" s="184">
        <f t="shared" si="6"/>
        <v>45777</v>
      </c>
      <c r="CR11" s="184">
        <f t="shared" si="6"/>
        <v>45778</v>
      </c>
      <c r="CS11" s="184">
        <f t="shared" si="6"/>
        <v>45779</v>
      </c>
      <c r="CT11" s="184">
        <f t="shared" si="6"/>
        <v>45782</v>
      </c>
      <c r="CU11" s="184">
        <f t="shared" si="6"/>
        <v>45783</v>
      </c>
      <c r="CV11" s="184">
        <f t="shared" si="6"/>
        <v>45784</v>
      </c>
      <c r="CW11" s="184">
        <f t="shared" si="6"/>
        <v>45785</v>
      </c>
      <c r="CX11" s="184">
        <f t="shared" si="6"/>
        <v>45786</v>
      </c>
      <c r="CY11" s="184">
        <f t="shared" si="6"/>
        <v>45789</v>
      </c>
      <c r="CZ11" s="184">
        <f t="shared" si="6"/>
        <v>45790</v>
      </c>
      <c r="DA11" s="184">
        <f t="shared" si="6"/>
        <v>45791</v>
      </c>
      <c r="DB11" s="184">
        <f t="shared" si="6"/>
        <v>45792</v>
      </c>
      <c r="DC11" s="184">
        <f t="shared" si="6"/>
        <v>45793</v>
      </c>
      <c r="DD11" s="184">
        <f t="shared" si="6"/>
        <v>45796</v>
      </c>
      <c r="DE11" s="184">
        <f t="shared" si="6"/>
        <v>45797</v>
      </c>
      <c r="DF11" s="184">
        <f t="shared" si="6"/>
        <v>45798</v>
      </c>
      <c r="DG11" s="184">
        <f t="shared" si="6"/>
        <v>45799</v>
      </c>
      <c r="DH11" s="184">
        <f t="shared" si="6"/>
        <v>45800</v>
      </c>
      <c r="DI11" s="184">
        <f t="shared" si="6"/>
        <v>45803</v>
      </c>
      <c r="DJ11" s="184">
        <f t="shared" si="6"/>
        <v>45804</v>
      </c>
      <c r="DK11" s="184">
        <f t="shared" si="6"/>
        <v>45805</v>
      </c>
      <c r="DL11" s="184">
        <f t="shared" si="6"/>
        <v>45806</v>
      </c>
      <c r="DM11" s="184">
        <f t="shared" si="6"/>
        <v>45807</v>
      </c>
      <c r="DN11" s="184">
        <f t="shared" si="6"/>
        <v>45810</v>
      </c>
      <c r="DO11" s="184">
        <f t="shared" si="6"/>
        <v>45811</v>
      </c>
      <c r="DP11" s="184">
        <f t="shared" si="6"/>
        <v>45812</v>
      </c>
      <c r="DQ11" s="184">
        <f t="shared" si="6"/>
        <v>45813</v>
      </c>
      <c r="DR11" s="184">
        <f t="shared" si="6"/>
        <v>45814</v>
      </c>
      <c r="DS11" s="184">
        <f t="shared" si="6"/>
        <v>45817</v>
      </c>
      <c r="DT11" s="184">
        <f t="shared" si="6"/>
        <v>45818</v>
      </c>
      <c r="DU11" s="184">
        <f t="shared" si="6"/>
        <v>45819</v>
      </c>
      <c r="DV11" s="184">
        <f t="shared" si="6"/>
        <v>45820</v>
      </c>
      <c r="DW11" s="184">
        <f t="shared" si="6"/>
        <v>45821</v>
      </c>
      <c r="DX11" s="184">
        <f t="shared" si="6"/>
        <v>45824</v>
      </c>
      <c r="DY11" s="184">
        <f t="shared" si="6"/>
        <v>45825</v>
      </c>
      <c r="DZ11" s="184">
        <f t="shared" si="6"/>
        <v>45826</v>
      </c>
      <c r="EA11" s="184">
        <f t="shared" si="6"/>
        <v>45827</v>
      </c>
      <c r="EB11" s="184">
        <f t="shared" si="6"/>
        <v>45828</v>
      </c>
      <c r="EC11" s="184">
        <f t="shared" si="6"/>
        <v>45831</v>
      </c>
      <c r="ED11" s="184">
        <f t="shared" si="6"/>
        <v>45832</v>
      </c>
      <c r="EE11" s="184">
        <f t="shared" si="6"/>
        <v>45833</v>
      </c>
      <c r="EF11" s="184">
        <f t="shared" si="6"/>
        <v>45834</v>
      </c>
      <c r="EG11" s="184">
        <f t="shared" si="6"/>
        <v>45835</v>
      </c>
      <c r="EH11" s="184">
        <f t="shared" si="6"/>
        <v>45838</v>
      </c>
      <c r="EI11" s="184">
        <f t="shared" si="6"/>
        <v>45839</v>
      </c>
      <c r="EJ11" s="184">
        <f t="shared" si="6"/>
        <v>45840</v>
      </c>
      <c r="EK11" s="184">
        <f t="shared" ref="EK11:EP11" si="7">IF(TEXT(EJ11,"DDD")="Fri",EJ11+3,IF(TEXT(EJ11,"DDD")="Sat",EJ11+2,EJ11+1))</f>
        <v>45841</v>
      </c>
      <c r="EL11" s="184">
        <f t="shared" si="7"/>
        <v>45842</v>
      </c>
      <c r="EM11" s="184">
        <f t="shared" si="7"/>
        <v>45845</v>
      </c>
      <c r="EN11" s="184">
        <f t="shared" si="7"/>
        <v>45846</v>
      </c>
      <c r="EO11" s="184">
        <f t="shared" si="7"/>
        <v>45847</v>
      </c>
      <c r="EP11" s="184">
        <f t="shared" si="7"/>
        <v>45848</v>
      </c>
      <c r="EQ11" s="184">
        <f>IF(TEXT(EP11,"DDD")="Fri",EP11+3,IF(TEXT(EP11,"DDD")="Sat",EP11+2,EP11+1))</f>
        <v>45849</v>
      </c>
      <c r="ER11" s="184">
        <f t="shared" ref="ER11:FS11" si="8">IF(TEXT(EQ11,"DDD")="Fri",EQ11+3,IF(TEXT(EQ11,"DDD")="Sat",EQ11+2,EQ11+1))</f>
        <v>45852</v>
      </c>
      <c r="ES11" s="184">
        <f t="shared" si="8"/>
        <v>45853</v>
      </c>
      <c r="ET11" s="184">
        <f t="shared" si="8"/>
        <v>45854</v>
      </c>
      <c r="EU11" s="184">
        <f t="shared" si="8"/>
        <v>45855</v>
      </c>
      <c r="EV11" s="184">
        <f t="shared" si="8"/>
        <v>45856</v>
      </c>
      <c r="EW11" s="184">
        <f t="shared" si="8"/>
        <v>45859</v>
      </c>
      <c r="EX11" s="184">
        <f t="shared" si="8"/>
        <v>45860</v>
      </c>
      <c r="EY11" s="184">
        <f t="shared" si="8"/>
        <v>45861</v>
      </c>
      <c r="EZ11" s="184">
        <f t="shared" si="8"/>
        <v>45862</v>
      </c>
      <c r="FA11" s="184">
        <f t="shared" si="8"/>
        <v>45863</v>
      </c>
      <c r="FB11" s="184">
        <f t="shared" si="8"/>
        <v>45866</v>
      </c>
      <c r="FC11" s="184">
        <f t="shared" si="8"/>
        <v>45867</v>
      </c>
      <c r="FD11" s="184">
        <f t="shared" si="8"/>
        <v>45868</v>
      </c>
      <c r="FE11" s="184">
        <f t="shared" si="8"/>
        <v>45869</v>
      </c>
      <c r="FF11" s="184">
        <f t="shared" si="8"/>
        <v>45870</v>
      </c>
      <c r="FG11" s="184">
        <f t="shared" si="8"/>
        <v>45873</v>
      </c>
      <c r="FH11" s="184">
        <f t="shared" si="8"/>
        <v>45874</v>
      </c>
      <c r="FI11" s="184">
        <f t="shared" si="8"/>
        <v>45875</v>
      </c>
      <c r="FJ11" s="184">
        <f t="shared" si="8"/>
        <v>45876</v>
      </c>
      <c r="FK11" s="184">
        <f t="shared" si="8"/>
        <v>45877</v>
      </c>
      <c r="FL11" s="184">
        <f t="shared" si="8"/>
        <v>45880</v>
      </c>
      <c r="FM11" s="184">
        <f t="shared" si="8"/>
        <v>45881</v>
      </c>
      <c r="FN11" s="184">
        <f t="shared" si="8"/>
        <v>45882</v>
      </c>
      <c r="FO11" s="184">
        <f t="shared" si="8"/>
        <v>45883</v>
      </c>
      <c r="FP11" s="184">
        <f t="shared" si="8"/>
        <v>45884</v>
      </c>
      <c r="FQ11" s="184">
        <f t="shared" si="8"/>
        <v>45887</v>
      </c>
      <c r="FR11" s="184">
        <f t="shared" si="8"/>
        <v>45888</v>
      </c>
      <c r="FS11" s="184">
        <f t="shared" si="8"/>
        <v>45889</v>
      </c>
      <c r="FT11" s="184">
        <f>IF(TEXT(FS11,"DDD")="Fri",FS11+3,IF(TEXT(FS11,"DDD")="Sat",FS11+2,FS11+1))</f>
        <v>45890</v>
      </c>
      <c r="FU11" s="184">
        <f t="shared" ref="FU11:IF11" si="9">IF(TEXT(FT11,"DDD")="Fri",FT11+3,IF(TEXT(FT11,"DDD")="Sat",FT11+2,FT11+1))</f>
        <v>45891</v>
      </c>
      <c r="FV11" s="184">
        <f t="shared" si="9"/>
        <v>45894</v>
      </c>
      <c r="FW11" s="184">
        <f t="shared" si="9"/>
        <v>45895</v>
      </c>
      <c r="FX11" s="184">
        <f t="shared" si="9"/>
        <v>45896</v>
      </c>
      <c r="FY11" s="184">
        <f t="shared" si="9"/>
        <v>45897</v>
      </c>
      <c r="FZ11" s="184">
        <f t="shared" si="9"/>
        <v>45898</v>
      </c>
      <c r="GA11" s="184">
        <f t="shared" si="9"/>
        <v>45901</v>
      </c>
      <c r="GB11" s="184">
        <f t="shared" si="9"/>
        <v>45902</v>
      </c>
      <c r="GC11" s="184">
        <f t="shared" si="9"/>
        <v>45903</v>
      </c>
      <c r="GD11" s="184">
        <f t="shared" si="9"/>
        <v>45904</v>
      </c>
      <c r="GE11" s="184">
        <f t="shared" si="9"/>
        <v>45905</v>
      </c>
      <c r="GF11" s="184">
        <f t="shared" si="9"/>
        <v>45908</v>
      </c>
      <c r="GG11" s="184">
        <f t="shared" si="9"/>
        <v>45909</v>
      </c>
      <c r="GH11" s="184">
        <f t="shared" si="9"/>
        <v>45910</v>
      </c>
      <c r="GI11" s="184">
        <f t="shared" si="9"/>
        <v>45911</v>
      </c>
      <c r="GJ11" s="184">
        <f t="shared" si="9"/>
        <v>45912</v>
      </c>
      <c r="GK11" s="184">
        <f t="shared" si="9"/>
        <v>45915</v>
      </c>
      <c r="GL11" s="184">
        <f t="shared" si="9"/>
        <v>45916</v>
      </c>
      <c r="GM11" s="184">
        <f t="shared" si="9"/>
        <v>45917</v>
      </c>
      <c r="GN11" s="184">
        <f t="shared" si="9"/>
        <v>45918</v>
      </c>
      <c r="GO11" s="184">
        <f t="shared" si="9"/>
        <v>45919</v>
      </c>
      <c r="GP11" s="184">
        <f t="shared" si="9"/>
        <v>45922</v>
      </c>
      <c r="GQ11" s="184">
        <f t="shared" si="9"/>
        <v>45923</v>
      </c>
      <c r="GR11" s="184">
        <f t="shared" si="9"/>
        <v>45924</v>
      </c>
      <c r="GS11" s="184">
        <f t="shared" si="9"/>
        <v>45925</v>
      </c>
      <c r="GT11" s="184">
        <f t="shared" si="9"/>
        <v>45926</v>
      </c>
      <c r="GU11" s="184">
        <f t="shared" si="9"/>
        <v>45929</v>
      </c>
      <c r="GV11" s="184">
        <f t="shared" si="9"/>
        <v>45930</v>
      </c>
      <c r="GW11" s="184">
        <f t="shared" si="9"/>
        <v>45931</v>
      </c>
      <c r="GX11" s="184">
        <f t="shared" si="9"/>
        <v>45932</v>
      </c>
      <c r="GY11" s="184">
        <f t="shared" si="9"/>
        <v>45933</v>
      </c>
      <c r="GZ11" s="184">
        <f t="shared" si="9"/>
        <v>45936</v>
      </c>
      <c r="HA11" s="184">
        <f t="shared" si="9"/>
        <v>45937</v>
      </c>
      <c r="HB11" s="184">
        <f t="shared" si="9"/>
        <v>45938</v>
      </c>
      <c r="HC11" s="184">
        <f t="shared" si="9"/>
        <v>45939</v>
      </c>
      <c r="HD11" s="184">
        <f t="shared" si="9"/>
        <v>45940</v>
      </c>
      <c r="HE11" s="184">
        <f t="shared" si="9"/>
        <v>45943</v>
      </c>
      <c r="HF11" s="184">
        <f t="shared" si="9"/>
        <v>45944</v>
      </c>
      <c r="HG11" s="184">
        <f t="shared" si="9"/>
        <v>45945</v>
      </c>
      <c r="HH11" s="184">
        <f t="shared" si="9"/>
        <v>45946</v>
      </c>
      <c r="HI11" s="184">
        <f t="shared" si="9"/>
        <v>45947</v>
      </c>
      <c r="HJ11" s="184">
        <f t="shared" si="9"/>
        <v>45950</v>
      </c>
      <c r="HK11" s="184">
        <f t="shared" si="9"/>
        <v>45951</v>
      </c>
      <c r="HL11" s="184">
        <f t="shared" si="9"/>
        <v>45952</v>
      </c>
      <c r="HM11" s="184">
        <f t="shared" si="9"/>
        <v>45953</v>
      </c>
      <c r="HN11" s="184">
        <f t="shared" si="9"/>
        <v>45954</v>
      </c>
      <c r="HO11" s="184">
        <f t="shared" si="9"/>
        <v>45957</v>
      </c>
      <c r="HP11" s="184">
        <f t="shared" si="9"/>
        <v>45958</v>
      </c>
      <c r="HQ11" s="184">
        <f t="shared" si="9"/>
        <v>45959</v>
      </c>
      <c r="HR11" s="184">
        <f t="shared" si="9"/>
        <v>45960</v>
      </c>
      <c r="HS11" s="184">
        <f t="shared" si="9"/>
        <v>45961</v>
      </c>
      <c r="HT11" s="184">
        <f t="shared" si="9"/>
        <v>45964</v>
      </c>
      <c r="HU11" s="184">
        <f t="shared" si="9"/>
        <v>45965</v>
      </c>
      <c r="HV11" s="184">
        <f t="shared" si="9"/>
        <v>45966</v>
      </c>
      <c r="HW11" s="184">
        <f t="shared" si="9"/>
        <v>45967</v>
      </c>
      <c r="HX11" s="184">
        <f t="shared" si="9"/>
        <v>45968</v>
      </c>
      <c r="HY11" s="184">
        <f t="shared" si="9"/>
        <v>45971</v>
      </c>
      <c r="HZ11" s="184">
        <f t="shared" si="9"/>
        <v>45972</v>
      </c>
      <c r="IA11" s="184">
        <f t="shared" si="9"/>
        <v>45973</v>
      </c>
      <c r="IB11" s="184">
        <f t="shared" si="9"/>
        <v>45974</v>
      </c>
      <c r="IC11" s="184">
        <f t="shared" si="9"/>
        <v>45975</v>
      </c>
      <c r="ID11" s="184">
        <f t="shared" si="9"/>
        <v>45978</v>
      </c>
      <c r="IE11" s="184">
        <f t="shared" si="9"/>
        <v>45979</v>
      </c>
      <c r="IF11" s="184">
        <f t="shared" si="9"/>
        <v>45980</v>
      </c>
      <c r="IG11" s="184">
        <f t="shared" ref="IG11:IY11" si="10">IF(TEXT(IF11,"DDD")="Fri",IF11+3,IF(TEXT(IF11,"DDD")="Sat",IF11+2,IF11+1))</f>
        <v>45981</v>
      </c>
      <c r="IH11" s="184">
        <f t="shared" si="10"/>
        <v>45982</v>
      </c>
      <c r="II11" s="184">
        <f t="shared" si="10"/>
        <v>45985</v>
      </c>
      <c r="IJ11" s="184">
        <f t="shared" si="10"/>
        <v>45986</v>
      </c>
      <c r="IK11" s="184">
        <f t="shared" si="10"/>
        <v>45987</v>
      </c>
      <c r="IL11" s="184">
        <f t="shared" si="10"/>
        <v>45988</v>
      </c>
      <c r="IM11" s="184">
        <f t="shared" si="10"/>
        <v>45989</v>
      </c>
      <c r="IN11" s="184">
        <f t="shared" si="10"/>
        <v>45992</v>
      </c>
      <c r="IO11" s="184">
        <f t="shared" si="10"/>
        <v>45993</v>
      </c>
      <c r="IP11" s="184">
        <f t="shared" si="10"/>
        <v>45994</v>
      </c>
      <c r="IQ11" s="184">
        <f t="shared" si="10"/>
        <v>45995</v>
      </c>
      <c r="IR11" s="184">
        <f t="shared" si="10"/>
        <v>45996</v>
      </c>
      <c r="IS11" s="184">
        <f t="shared" si="10"/>
        <v>45999</v>
      </c>
      <c r="IT11" s="184">
        <f t="shared" si="10"/>
        <v>46000</v>
      </c>
      <c r="IU11" s="184">
        <f t="shared" si="10"/>
        <v>46001</v>
      </c>
      <c r="IV11" s="184">
        <f t="shared" si="10"/>
        <v>46002</v>
      </c>
      <c r="IW11" s="184">
        <f t="shared" si="10"/>
        <v>46003</v>
      </c>
      <c r="IX11" s="184">
        <f t="shared" si="10"/>
        <v>46006</v>
      </c>
      <c r="IY11" s="184">
        <f t="shared" si="10"/>
        <v>46007</v>
      </c>
      <c r="IZ11" s="184">
        <f>IF(TEXT(IY11,"DDD")="Fri",IY11+3,IF(TEXT(IY11,"DDD")="Sat",IY11+2,IY11+1))</f>
        <v>46008</v>
      </c>
      <c r="JA11" s="184">
        <f t="shared" ref="JA11:JJ11" si="11">IF(TEXT(IZ11,"DDD")="Fri",IZ11+3,IF(TEXT(IZ11,"DDD")="Sat",IZ11+2,IZ11+1))</f>
        <v>46009</v>
      </c>
      <c r="JB11" s="184">
        <f t="shared" si="11"/>
        <v>46010</v>
      </c>
      <c r="JC11" s="184">
        <f t="shared" si="11"/>
        <v>46013</v>
      </c>
      <c r="JD11" s="184">
        <f t="shared" si="11"/>
        <v>46014</v>
      </c>
      <c r="JE11" s="184">
        <f t="shared" si="11"/>
        <v>46015</v>
      </c>
      <c r="JF11" s="184">
        <f t="shared" si="11"/>
        <v>46016</v>
      </c>
      <c r="JG11" s="184">
        <f t="shared" si="11"/>
        <v>46017</v>
      </c>
      <c r="JH11" s="184">
        <f t="shared" si="11"/>
        <v>46020</v>
      </c>
      <c r="JI11" s="184">
        <f t="shared" si="11"/>
        <v>46021</v>
      </c>
      <c r="JJ11" s="184">
        <f t="shared" si="11"/>
        <v>46022</v>
      </c>
      <c r="JK11" s="109"/>
    </row>
    <row r="12" spans="2:271" ht="17" thickBot="1" x14ac:dyDescent="0.25">
      <c r="B12" s="107"/>
      <c r="C12" s="301">
        <v>112</v>
      </c>
      <c r="D12" s="302"/>
      <c r="E12" s="303" t="s">
        <v>40</v>
      </c>
      <c r="F12" s="304"/>
      <c r="G12" s="305">
        <v>45894</v>
      </c>
      <c r="H12" s="306"/>
      <c r="I12" s="13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  <c r="AN12" s="101"/>
      <c r="AO12" s="101"/>
      <c r="AP12" s="101"/>
      <c r="AQ12" s="101"/>
      <c r="AR12" s="101"/>
      <c r="AS12" s="101"/>
      <c r="AT12" s="101"/>
      <c r="AU12" s="101"/>
      <c r="AV12" s="101"/>
      <c r="AW12" s="101"/>
      <c r="AX12" s="101"/>
      <c r="AY12" s="101"/>
      <c r="AZ12" s="101"/>
      <c r="BA12" s="101"/>
      <c r="BB12" s="101"/>
      <c r="BC12" s="101"/>
      <c r="BD12" s="101"/>
      <c r="BE12" s="101"/>
      <c r="BF12" s="101"/>
      <c r="BG12" s="101"/>
      <c r="BH12" s="101"/>
      <c r="BI12" s="101"/>
      <c r="BJ12" s="101"/>
      <c r="BK12" s="101"/>
      <c r="BL12" s="101"/>
      <c r="BM12" s="101"/>
      <c r="BN12" s="101"/>
      <c r="BO12" s="101"/>
      <c r="BP12" s="101"/>
      <c r="BQ12" s="101"/>
      <c r="BR12" s="101"/>
      <c r="BS12" s="101"/>
      <c r="BT12" s="101"/>
      <c r="BU12" s="101"/>
      <c r="BV12" s="101"/>
      <c r="BW12" s="101"/>
      <c r="BX12" s="101"/>
      <c r="BY12" s="101"/>
      <c r="BZ12" s="101"/>
      <c r="CA12" s="101"/>
      <c r="CB12" s="101"/>
      <c r="CC12" s="101"/>
      <c r="CD12" s="101"/>
      <c r="CE12" s="101"/>
      <c r="CF12" s="101"/>
      <c r="CG12" s="101"/>
      <c r="CH12" s="101"/>
      <c r="CI12" s="101"/>
      <c r="CJ12" s="101"/>
      <c r="CK12" s="101"/>
      <c r="CL12" s="101"/>
      <c r="CM12" s="101"/>
      <c r="CN12" s="101"/>
      <c r="CO12" s="101"/>
      <c r="CP12" s="101"/>
      <c r="CQ12" s="101"/>
      <c r="CR12" s="101"/>
      <c r="CS12" s="101"/>
      <c r="CT12" s="101"/>
      <c r="CU12" s="101"/>
      <c r="CV12" s="101"/>
      <c r="CW12" s="101"/>
      <c r="CX12" s="101"/>
      <c r="CY12" s="101"/>
      <c r="CZ12" s="101"/>
      <c r="DA12" s="101"/>
      <c r="DB12" s="101"/>
      <c r="DC12" s="101"/>
      <c r="DD12" s="101"/>
      <c r="DE12" s="101"/>
      <c r="DF12" s="101"/>
      <c r="DG12" s="101"/>
      <c r="DH12" s="101"/>
      <c r="DI12" s="101"/>
      <c r="DJ12" s="101"/>
      <c r="DK12" s="101"/>
      <c r="DL12" s="101"/>
      <c r="DM12" s="101"/>
      <c r="DN12" s="101"/>
      <c r="DO12" s="101"/>
      <c r="DP12" s="101"/>
      <c r="DQ12" s="101"/>
      <c r="DR12" s="101"/>
      <c r="DS12" s="101"/>
      <c r="DT12" s="101"/>
      <c r="DU12" s="101"/>
      <c r="DV12" s="101"/>
      <c r="DW12" s="101"/>
      <c r="DX12" s="101"/>
      <c r="DY12" s="101"/>
      <c r="DZ12" s="101"/>
      <c r="EA12" s="101"/>
      <c r="EB12" s="101"/>
      <c r="EC12" s="101"/>
      <c r="ED12" s="101"/>
      <c r="EE12" s="101"/>
      <c r="EF12" s="101"/>
      <c r="EG12" s="101"/>
      <c r="EH12" s="101"/>
      <c r="EI12" s="101"/>
      <c r="EJ12" s="101"/>
      <c r="EK12" s="101"/>
      <c r="EL12" s="101"/>
      <c r="EM12" s="101"/>
      <c r="EN12" s="101"/>
      <c r="EO12" s="101"/>
      <c r="EP12" s="101"/>
      <c r="EQ12" s="101"/>
      <c r="ER12" s="101"/>
      <c r="ES12" s="101"/>
      <c r="ET12" s="101"/>
      <c r="EU12" s="101"/>
      <c r="EV12" s="101"/>
      <c r="EW12" s="101"/>
      <c r="EX12" s="101"/>
      <c r="EY12" s="101"/>
      <c r="EZ12" s="101"/>
      <c r="FA12" s="101"/>
      <c r="FB12" s="101"/>
      <c r="FC12" s="101"/>
      <c r="FD12" s="101"/>
      <c r="FE12" s="101"/>
      <c r="FF12" s="101"/>
      <c r="FG12" s="101"/>
      <c r="FH12" s="101"/>
      <c r="FI12" s="101"/>
      <c r="FJ12" s="101"/>
      <c r="FK12" s="101"/>
      <c r="FL12" s="101"/>
      <c r="FM12" s="101"/>
      <c r="FN12" s="101"/>
      <c r="FO12" s="101"/>
      <c r="FP12" s="101"/>
      <c r="FQ12" s="101"/>
      <c r="FR12" s="101"/>
      <c r="FS12" s="101"/>
      <c r="FT12" s="101"/>
      <c r="FU12" s="101"/>
      <c r="FV12" s="101"/>
      <c r="FW12" s="101"/>
      <c r="FX12" s="101"/>
      <c r="FY12" s="101"/>
      <c r="FZ12" s="101"/>
      <c r="GA12" s="101"/>
      <c r="GB12" s="101"/>
      <c r="GC12" s="101"/>
      <c r="GD12" s="101"/>
      <c r="GE12" s="101"/>
      <c r="GF12" s="101"/>
      <c r="GG12" s="101"/>
      <c r="GH12" s="101"/>
      <c r="GI12" s="101"/>
      <c r="GJ12" s="101"/>
      <c r="GK12" s="101"/>
      <c r="GL12" s="101"/>
      <c r="GM12" s="101"/>
      <c r="GN12" s="101"/>
      <c r="GO12" s="101"/>
      <c r="GP12" s="101"/>
      <c r="GQ12" s="101"/>
      <c r="GR12" s="101"/>
      <c r="GS12" s="101"/>
      <c r="GT12" s="101"/>
      <c r="GU12" s="101"/>
      <c r="GV12" s="101"/>
      <c r="GW12" s="101"/>
      <c r="GX12" s="101"/>
      <c r="GY12" s="101"/>
      <c r="GZ12" s="101"/>
      <c r="HA12" s="101"/>
      <c r="HB12" s="101"/>
      <c r="HC12" s="101"/>
      <c r="HD12" s="101"/>
      <c r="HE12" s="101"/>
      <c r="HF12" s="101"/>
      <c r="HG12" s="101"/>
      <c r="HH12" s="101"/>
      <c r="HI12" s="101"/>
      <c r="HJ12" s="101"/>
      <c r="HK12" s="101"/>
      <c r="HL12" s="101"/>
      <c r="HM12" s="101"/>
      <c r="HN12" s="101"/>
      <c r="HO12" s="101"/>
      <c r="HP12" s="101"/>
      <c r="HQ12" s="101"/>
      <c r="HR12" s="101"/>
      <c r="HS12" s="101"/>
      <c r="HT12" s="101"/>
      <c r="HU12" s="101"/>
      <c r="HV12" s="101"/>
      <c r="HW12" s="101"/>
      <c r="HX12" s="101"/>
      <c r="HY12" s="101"/>
      <c r="HZ12" s="101"/>
      <c r="IA12" s="101"/>
      <c r="IB12" s="101"/>
      <c r="IC12" s="101"/>
      <c r="ID12" s="101"/>
      <c r="IE12" s="101"/>
      <c r="IF12" s="101"/>
      <c r="IG12" s="101"/>
      <c r="IH12" s="101"/>
      <c r="II12" s="101"/>
      <c r="IJ12" s="101"/>
      <c r="IK12" s="101"/>
      <c r="IL12" s="101"/>
      <c r="IM12" s="101"/>
      <c r="IN12" s="101"/>
      <c r="IO12" s="101"/>
      <c r="IP12" s="101"/>
      <c r="IQ12" s="101"/>
      <c r="IR12" s="101"/>
      <c r="IS12" s="101"/>
      <c r="IT12" s="101"/>
      <c r="IU12" s="101"/>
      <c r="IV12" s="101"/>
      <c r="IW12" s="101"/>
      <c r="IX12" s="101"/>
      <c r="IY12" s="101"/>
      <c r="IZ12" s="101"/>
      <c r="JA12" s="101"/>
      <c r="JB12" s="101"/>
      <c r="JC12" s="101"/>
      <c r="JD12" s="101"/>
      <c r="JE12" s="101"/>
      <c r="JF12" s="101"/>
      <c r="JG12" s="101"/>
      <c r="JH12" s="101"/>
      <c r="JI12" s="101"/>
      <c r="JJ12" s="101"/>
      <c r="JK12" s="109"/>
    </row>
    <row r="13" spans="2:271" x14ac:dyDescent="0.2">
      <c r="B13" s="10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3"/>
      <c r="BF13" s="113"/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3"/>
      <c r="CF13" s="113"/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3"/>
      <c r="CZ13" s="113"/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3"/>
      <c r="DR13" s="113"/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3"/>
      <c r="EI13" s="113"/>
      <c r="EJ13" s="113"/>
      <c r="EK13" s="113"/>
      <c r="EL13" s="113"/>
      <c r="EM13" s="113"/>
      <c r="EN13" s="113"/>
      <c r="EO13" s="113"/>
      <c r="EP13" s="113"/>
      <c r="EQ13" s="113"/>
      <c r="ER13" s="113"/>
      <c r="ES13" s="113"/>
      <c r="ET13" s="113"/>
      <c r="EU13" s="113"/>
      <c r="EV13" s="113"/>
      <c r="EW13" s="113"/>
      <c r="EX13" s="113"/>
      <c r="EY13" s="113"/>
      <c r="EZ13" s="113"/>
      <c r="FA13" s="113"/>
      <c r="FB13" s="113"/>
      <c r="FC13" s="113"/>
      <c r="FD13" s="113"/>
      <c r="FE13" s="113"/>
      <c r="FF13" s="113"/>
      <c r="FG13" s="113"/>
      <c r="FH13" s="113"/>
      <c r="FI13" s="113"/>
      <c r="FJ13" s="113"/>
      <c r="FK13" s="113"/>
      <c r="FL13" s="113"/>
      <c r="FM13" s="113"/>
      <c r="FN13" s="113"/>
      <c r="FO13" s="113"/>
      <c r="FP13" s="113"/>
      <c r="FQ13" s="113"/>
      <c r="FR13" s="113"/>
      <c r="FS13" s="113"/>
      <c r="FT13" s="113"/>
      <c r="FU13" s="113"/>
      <c r="FV13" s="113"/>
      <c r="FW13" s="113"/>
      <c r="FX13" s="113"/>
      <c r="FY13" s="113"/>
      <c r="FZ13" s="113"/>
      <c r="GA13" s="113"/>
      <c r="GB13" s="113"/>
      <c r="GC13" s="113"/>
      <c r="GD13" s="113"/>
      <c r="GE13" s="113"/>
      <c r="GF13" s="113"/>
      <c r="GG13" s="113"/>
      <c r="GH13" s="113"/>
      <c r="GI13" s="113"/>
      <c r="GJ13" s="113"/>
      <c r="GK13" s="113"/>
      <c r="GL13" s="113"/>
      <c r="GM13" s="113"/>
      <c r="GN13" s="113"/>
      <c r="GO13" s="113"/>
      <c r="GP13" s="113"/>
      <c r="GQ13" s="113"/>
      <c r="GR13" s="113"/>
      <c r="GS13" s="113"/>
      <c r="GT13" s="113"/>
      <c r="GU13" s="113"/>
      <c r="GV13" s="113"/>
      <c r="GW13" s="113"/>
      <c r="GX13" s="113"/>
      <c r="GY13" s="113"/>
      <c r="GZ13" s="113"/>
      <c r="HA13" s="113"/>
      <c r="HB13" s="113"/>
      <c r="HC13" s="113"/>
      <c r="HD13" s="113"/>
      <c r="HE13" s="113"/>
      <c r="HF13" s="113"/>
      <c r="HG13" s="113"/>
      <c r="HH13" s="113"/>
      <c r="HI13" s="113"/>
      <c r="HJ13" s="113"/>
      <c r="HK13" s="113"/>
      <c r="HL13" s="113"/>
      <c r="HM13" s="113"/>
      <c r="HN13" s="113"/>
      <c r="HO13" s="113"/>
      <c r="HP13" s="113"/>
      <c r="HQ13" s="113"/>
      <c r="HR13" s="113"/>
      <c r="HS13" s="113"/>
      <c r="HT13" s="113"/>
      <c r="HU13" s="113"/>
      <c r="HV13" s="113"/>
      <c r="HW13" s="113"/>
      <c r="HX13" s="113"/>
      <c r="HY13" s="113"/>
      <c r="HZ13" s="113"/>
      <c r="IA13" s="113"/>
      <c r="IB13" s="113"/>
      <c r="IC13" s="113"/>
      <c r="ID13" s="113"/>
      <c r="IE13" s="113"/>
      <c r="IF13" s="113"/>
      <c r="IG13" s="113"/>
      <c r="IH13" s="113"/>
      <c r="II13" s="113"/>
      <c r="IJ13" s="113"/>
      <c r="IK13" s="113"/>
      <c r="IL13" s="113"/>
      <c r="IM13" s="113"/>
      <c r="IN13" s="113"/>
      <c r="IO13" s="113"/>
      <c r="IP13" s="113"/>
      <c r="IQ13" s="113"/>
      <c r="IR13" s="113"/>
      <c r="IS13" s="113"/>
      <c r="IT13" s="113"/>
      <c r="IU13" s="113"/>
      <c r="IV13" s="113"/>
      <c r="IW13" s="113"/>
      <c r="IX13" s="113"/>
      <c r="IY13" s="113"/>
      <c r="IZ13" s="113"/>
      <c r="JA13" s="113"/>
      <c r="JB13" s="113"/>
      <c r="JC13" s="113"/>
      <c r="JD13" s="113"/>
      <c r="JE13" s="113"/>
      <c r="JF13" s="113"/>
      <c r="JG13" s="113"/>
      <c r="JH13" s="113"/>
      <c r="JI13" s="113"/>
      <c r="JJ13" s="113"/>
      <c r="JK13" s="109"/>
    </row>
    <row r="14" spans="2:271" ht="17" thickBot="1" x14ac:dyDescent="0.25">
      <c r="B14" s="110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4"/>
      <c r="CR14" s="114"/>
      <c r="CS14" s="114"/>
      <c r="CT14" s="114"/>
      <c r="CU14" s="114"/>
      <c r="CV14" s="114"/>
      <c r="CW14" s="114"/>
      <c r="CX14" s="114"/>
      <c r="CY14" s="114"/>
      <c r="CZ14" s="114"/>
      <c r="DA14" s="114"/>
      <c r="DB14" s="114"/>
      <c r="DC14" s="114"/>
      <c r="DD14" s="114"/>
      <c r="DE14" s="114"/>
      <c r="DF14" s="114"/>
      <c r="DG14" s="114"/>
      <c r="DH14" s="114"/>
      <c r="DI14" s="114"/>
      <c r="DJ14" s="114"/>
      <c r="DK14" s="114"/>
      <c r="DL14" s="114"/>
      <c r="DM14" s="114"/>
      <c r="DN14" s="114"/>
      <c r="DO14" s="114"/>
      <c r="DP14" s="114"/>
      <c r="DQ14" s="114"/>
      <c r="DR14" s="114"/>
      <c r="DS14" s="114"/>
      <c r="DT14" s="114"/>
      <c r="DU14" s="114"/>
      <c r="DV14" s="114"/>
      <c r="DW14" s="114"/>
      <c r="DX14" s="114"/>
      <c r="DY14" s="114"/>
      <c r="DZ14" s="114"/>
      <c r="EA14" s="114"/>
      <c r="EB14" s="114"/>
      <c r="EC14" s="114"/>
      <c r="ED14" s="114"/>
      <c r="EE14" s="114"/>
      <c r="EF14" s="114"/>
      <c r="EG14" s="114"/>
      <c r="EH14" s="114"/>
      <c r="EI14" s="114"/>
      <c r="EJ14" s="114"/>
      <c r="EK14" s="114"/>
      <c r="EL14" s="114"/>
      <c r="EM14" s="114"/>
      <c r="EN14" s="114"/>
      <c r="EO14" s="114"/>
      <c r="EP14" s="114"/>
      <c r="EQ14" s="114"/>
      <c r="ER14" s="114"/>
      <c r="ES14" s="114"/>
      <c r="ET14" s="114"/>
      <c r="EU14" s="114"/>
      <c r="EV14" s="114"/>
      <c r="EW14" s="114"/>
      <c r="EX14" s="114"/>
      <c r="EY14" s="114"/>
      <c r="EZ14" s="114"/>
      <c r="FA14" s="114"/>
      <c r="FB14" s="114"/>
      <c r="FC14" s="114"/>
      <c r="FD14" s="114"/>
      <c r="FE14" s="114"/>
      <c r="FF14" s="114"/>
      <c r="FG14" s="114"/>
      <c r="FH14" s="114"/>
      <c r="FI14" s="114"/>
      <c r="FJ14" s="114"/>
      <c r="FK14" s="114"/>
      <c r="FL14" s="114"/>
      <c r="FM14" s="114"/>
      <c r="FN14" s="114"/>
      <c r="FO14" s="114"/>
      <c r="FP14" s="114"/>
      <c r="FQ14" s="114"/>
      <c r="FR14" s="114"/>
      <c r="FS14" s="114"/>
      <c r="FT14" s="114"/>
      <c r="FU14" s="114"/>
      <c r="FV14" s="114"/>
      <c r="FW14" s="114"/>
      <c r="FX14" s="114"/>
      <c r="FY14" s="114"/>
      <c r="FZ14" s="114"/>
      <c r="GA14" s="114"/>
      <c r="GB14" s="114"/>
      <c r="GC14" s="114"/>
      <c r="GD14" s="114"/>
      <c r="GE14" s="114"/>
      <c r="GF14" s="114"/>
      <c r="GG14" s="114"/>
      <c r="GH14" s="114"/>
      <c r="GI14" s="114"/>
      <c r="GJ14" s="114"/>
      <c r="GK14" s="114"/>
      <c r="GL14" s="114"/>
      <c r="GM14" s="114"/>
      <c r="GN14" s="114"/>
      <c r="GO14" s="114"/>
      <c r="GP14" s="114"/>
      <c r="GQ14" s="114"/>
      <c r="GR14" s="114"/>
      <c r="GS14" s="114"/>
      <c r="GT14" s="114"/>
      <c r="GU14" s="114"/>
      <c r="GV14" s="114"/>
      <c r="GW14" s="114"/>
      <c r="GX14" s="114"/>
      <c r="GY14" s="114"/>
      <c r="GZ14" s="114"/>
      <c r="HA14" s="114"/>
      <c r="HB14" s="114"/>
      <c r="HC14" s="114"/>
      <c r="HD14" s="114"/>
      <c r="HE14" s="114"/>
      <c r="HF14" s="114"/>
      <c r="HG14" s="114"/>
      <c r="HH14" s="114"/>
      <c r="HI14" s="114"/>
      <c r="HJ14" s="114"/>
      <c r="HK14" s="114"/>
      <c r="HL14" s="114"/>
      <c r="HM14" s="114"/>
      <c r="HN14" s="114"/>
      <c r="HO14" s="114"/>
      <c r="HP14" s="114"/>
      <c r="HQ14" s="114"/>
      <c r="HR14" s="114"/>
      <c r="HS14" s="114"/>
      <c r="HT14" s="114"/>
      <c r="HU14" s="114"/>
      <c r="HV14" s="114"/>
      <c r="HW14" s="114"/>
      <c r="HX14" s="114"/>
      <c r="HY14" s="114"/>
      <c r="HZ14" s="114"/>
      <c r="IA14" s="114"/>
      <c r="IB14" s="114"/>
      <c r="IC14" s="114"/>
      <c r="ID14" s="114"/>
      <c r="IE14" s="114"/>
      <c r="IF14" s="114"/>
      <c r="IG14" s="114"/>
      <c r="IH14" s="114"/>
      <c r="II14" s="114"/>
      <c r="IJ14" s="114"/>
      <c r="IK14" s="114"/>
      <c r="IL14" s="114"/>
      <c r="IM14" s="114"/>
      <c r="IN14" s="114"/>
      <c r="IO14" s="114"/>
      <c r="IP14" s="114"/>
      <c r="IQ14" s="114"/>
      <c r="IR14" s="114"/>
      <c r="IS14" s="114"/>
      <c r="IT14" s="114"/>
      <c r="IU14" s="114"/>
      <c r="IV14" s="114"/>
      <c r="IW14" s="114"/>
      <c r="IX14" s="114"/>
      <c r="IY14" s="114"/>
      <c r="IZ14" s="114"/>
      <c r="JA14" s="114"/>
      <c r="JB14" s="114"/>
      <c r="JC14" s="114"/>
      <c r="JD14" s="114"/>
      <c r="JE14" s="114"/>
      <c r="JF14" s="114"/>
      <c r="JG14" s="114"/>
      <c r="JH14" s="114"/>
      <c r="JI14" s="114"/>
      <c r="JJ14" s="114"/>
      <c r="JK14" s="112"/>
    </row>
    <row r="15" spans="2:271" ht="18" thickTop="1" thickBot="1" x14ac:dyDescent="0.25">
      <c r="B15" s="4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6"/>
    </row>
    <row r="18" spans="2:22" ht="17" thickBot="1" x14ac:dyDescent="0.25"/>
    <row r="19" spans="2:22" ht="16" customHeight="1" x14ac:dyDescent="0.2">
      <c r="B19" s="185"/>
      <c r="C19" s="298" t="s">
        <v>107</v>
      </c>
      <c r="D19" s="298"/>
      <c r="E19" s="298"/>
      <c r="F19" s="298"/>
      <c r="G19" s="298"/>
      <c r="H19" s="298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06"/>
    </row>
    <row r="20" spans="2:22" ht="16" customHeight="1" x14ac:dyDescent="0.2">
      <c r="B20" s="186"/>
      <c r="C20" s="299"/>
      <c r="D20" s="299"/>
      <c r="E20" s="299"/>
      <c r="F20" s="299"/>
      <c r="G20" s="299"/>
      <c r="H20" s="299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09"/>
    </row>
    <row r="21" spans="2:22" ht="16" customHeight="1" x14ac:dyDescent="0.2">
      <c r="B21" s="186"/>
      <c r="C21" s="299"/>
      <c r="D21" s="299"/>
      <c r="E21" s="299"/>
      <c r="F21" s="299"/>
      <c r="G21" s="299"/>
      <c r="H21" s="299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09"/>
    </row>
    <row r="22" spans="2:22" ht="16" customHeight="1" x14ac:dyDescent="0.2">
      <c r="B22" s="186"/>
      <c r="C22" s="299"/>
      <c r="D22" s="299"/>
      <c r="E22" s="299"/>
      <c r="F22" s="299"/>
      <c r="G22" s="299"/>
      <c r="H22" s="299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09"/>
    </row>
    <row r="23" spans="2:22" ht="16" customHeight="1" thickBot="1" x14ac:dyDescent="0.25">
      <c r="B23" s="186"/>
      <c r="C23" s="300"/>
      <c r="D23" s="300"/>
      <c r="E23" s="300"/>
      <c r="F23" s="300"/>
      <c r="G23" s="300"/>
      <c r="H23" s="300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09"/>
    </row>
    <row r="24" spans="2:22" ht="18" thickTop="1" thickBot="1" x14ac:dyDescent="0.25">
      <c r="B24" s="107"/>
      <c r="C24" s="4"/>
      <c r="D24" s="3"/>
      <c r="E24" s="3"/>
      <c r="F24" s="3"/>
      <c r="G24" s="3"/>
      <c r="H24" s="3"/>
      <c r="I24" s="10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6"/>
      <c r="V24" s="109"/>
    </row>
    <row r="25" spans="2:22" ht="17" thickBot="1" x14ac:dyDescent="0.25">
      <c r="B25" s="107"/>
      <c r="C25" s="194" t="s">
        <v>44</v>
      </c>
      <c r="D25" s="195"/>
      <c r="E25" s="194" t="s">
        <v>39</v>
      </c>
      <c r="F25" s="199"/>
      <c r="G25" s="194" t="s">
        <v>38</v>
      </c>
      <c r="H25" s="195"/>
      <c r="I25" s="10"/>
      <c r="J25" s="291">
        <v>2025</v>
      </c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3"/>
      <c r="V25" s="109"/>
    </row>
    <row r="26" spans="2:22" ht="17" thickBot="1" x14ac:dyDescent="0.25">
      <c r="B26" s="107"/>
      <c r="C26" s="196"/>
      <c r="D26" s="197"/>
      <c r="E26" s="196"/>
      <c r="F26" s="200"/>
      <c r="G26" s="196"/>
      <c r="H26" s="197"/>
      <c r="I26" s="11"/>
      <c r="J26" s="124" t="s">
        <v>0</v>
      </c>
      <c r="K26" s="124" t="s">
        <v>1</v>
      </c>
      <c r="L26" s="124" t="s">
        <v>2</v>
      </c>
      <c r="M26" s="124" t="s">
        <v>3</v>
      </c>
      <c r="N26" s="124" t="s">
        <v>4</v>
      </c>
      <c r="O26" s="124" t="s">
        <v>5</v>
      </c>
      <c r="P26" s="124" t="s">
        <v>11</v>
      </c>
      <c r="Q26" s="124" t="s">
        <v>6</v>
      </c>
      <c r="R26" s="124" t="s">
        <v>7</v>
      </c>
      <c r="S26" s="124" t="s">
        <v>8</v>
      </c>
      <c r="T26" s="124" t="s">
        <v>9</v>
      </c>
      <c r="U26" s="124" t="s">
        <v>10</v>
      </c>
      <c r="V26" s="109"/>
    </row>
    <row r="27" spans="2:22" x14ac:dyDescent="0.2">
      <c r="B27" s="107"/>
      <c r="C27" s="294" t="str">
        <f>'Item Prices'!D13</f>
        <v>WRENCH</v>
      </c>
      <c r="D27" s="295"/>
      <c r="E27" s="294" cm="1">
        <f t="array" aca="1" ref="E27" ca="1">COUNTIF(INDIRECT(_xlfn.CONCAT("E12:E",MATCH("Order Totals",RIGHT($C:$C,12),0)-7)),$C27)</f>
        <v>1</v>
      </c>
      <c r="F27" s="295"/>
      <c r="G27" s="296">
        <f ca="1">'Item Prices'!G13*E27</f>
        <v>80</v>
      </c>
      <c r="H27" s="297"/>
      <c r="I27" s="187"/>
      <c r="J27" s="188" cm="1">
        <f t="array" aca="1" ref="J27" ca="1">COUNTIFS(INDIRECT(_xlfn.CONCAT("E12:F",MATCH("Order Totals",RIGHT($C:$C,12),0)-7)),$C27,INDIRECT(_xlfn.CONCAT("G12:H",MATCH("Order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Prices'!$G$13</f>
        <v>0</v>
      </c>
      <c r="K27" s="188" cm="1">
        <f t="array" aca="1" ref="K27" ca="1">COUNTIFS(INDIRECT(_xlfn.CONCAT("E12:F",MATCH("Order Totals",RIGHT($C:$C,12),0)-7)),$C27,INDIRECT(_xlfn.CONCAT("G12:H",MATCH("Order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Prices'!$G$13</f>
        <v>0</v>
      </c>
      <c r="L27" s="188" cm="1">
        <f t="array" aca="1" ref="L27" ca="1">COUNTIFS(INDIRECT(_xlfn.CONCAT("E12:F",MATCH("Order Totals",RIGHT($C:$C,12),0)-7)),$C27,INDIRECT(_xlfn.CONCAT("G12:H",MATCH("Order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Prices'!$G$13</f>
        <v>0</v>
      </c>
      <c r="M27" s="188" cm="1">
        <f t="array" aca="1" ref="M27" ca="1">COUNTIFS(INDIRECT(_xlfn.CONCAT("E12:F",MATCH("Order Totals",RIGHT($C:$C,12),0)-7)),$C27,INDIRECT(_xlfn.CONCAT("G12:H",MATCH("Order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Prices'!$G$13</f>
        <v>0</v>
      </c>
      <c r="N27" s="188" cm="1">
        <f t="array" aca="1" ref="N27" ca="1">COUNTIFS(INDIRECT(_xlfn.CONCAT("E12:F",MATCH("Order Totals",RIGHT($C:$C,12),0)-7)),$C27,INDIRECT(_xlfn.CONCAT("G12:H",MATCH("Order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Prices'!$G$13</f>
        <v>0</v>
      </c>
      <c r="O27" s="188" cm="1">
        <f t="array" aca="1" ref="O27" ca="1">COUNTIFS(INDIRECT(_xlfn.CONCAT("E12:F",MATCH("Order Totals",RIGHT($C:$C,12),0)-7)),$C27,INDIRECT(_xlfn.CONCAT("G12:H",MATCH("Order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Prices'!$G$13</f>
        <v>0</v>
      </c>
      <c r="P27" s="188" cm="1">
        <f t="array" aca="1" ref="P27" ca="1">COUNTIFS(INDIRECT(_xlfn.CONCAT("E12:F",MATCH("Order Totals",RIGHT($C:$C,12),0)-7)),$C27,INDIRECT(_xlfn.CONCAT("G12:H",MATCH("Order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Prices'!$G$13</f>
        <v>0</v>
      </c>
      <c r="Q27" s="188" cm="1">
        <f t="array" aca="1" ref="Q27" ca="1">COUNTIFS(INDIRECT(_xlfn.CONCAT("E12:F",MATCH("Order Totals",RIGHT($C:$C,12),0)-7)),$C27,INDIRECT(_xlfn.CONCAT("G12:H",MATCH("Order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Prices'!$G$13</f>
        <v>80</v>
      </c>
      <c r="R27" s="188" cm="1">
        <f t="array" aca="1" ref="R27" ca="1">COUNTIFS(INDIRECT(_xlfn.CONCAT("E12:F",MATCH("Order Totals",RIGHT($C:$C,12),0)-7)),$C27,INDIRECT(_xlfn.CONCAT("G12:H",MATCH("Order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Prices'!$G$13</f>
        <v>0</v>
      </c>
      <c r="S27" s="188" cm="1">
        <f t="array" aca="1" ref="S27" ca="1">COUNTIFS(INDIRECT(_xlfn.CONCAT("E12:F",MATCH("Order Totals",RIGHT($C:$C,12),0)-7)),$C27,INDIRECT(_xlfn.CONCAT("G12:H",MATCH("Order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Prices'!$G$13</f>
        <v>0</v>
      </c>
      <c r="T27" s="188" cm="1">
        <f t="array" aca="1" ref="T27" ca="1">COUNTIFS(INDIRECT(_xlfn.CONCAT("E12:F",MATCH("Order Totals",RIGHT($C:$C,12),0)-7)),$C27,INDIRECT(_xlfn.CONCAT("G12:H",MATCH("Order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Prices'!$G$13</f>
        <v>0</v>
      </c>
      <c r="U27" s="188" cm="1">
        <f t="array" aca="1" ref="U27" ca="1">COUNTIFS(INDIRECT(_xlfn.CONCAT("E12:F",MATCH("Order Totals",RIGHT($C:$C,12),0)-7)),$C27,INDIRECT(_xlfn.CONCAT("G12:H",MATCH("Order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Prices'!$G$13</f>
        <v>0</v>
      </c>
      <c r="V27" s="109"/>
    </row>
    <row r="28" spans="2:22" x14ac:dyDescent="0.2">
      <c r="B28" s="107"/>
      <c r="C28" s="287" t="str">
        <f>'Item Prices'!D16</f>
        <v>HAMMER</v>
      </c>
      <c r="D28" s="288"/>
      <c r="E28" s="287" cm="1">
        <f t="array" aca="1" ref="E28" ca="1">COUNTIF(INDIRECT(_xlfn.CONCAT("E12:E",MATCH("Order Totals",RIGHT($C:$C,12),0)-7)),$C28)</f>
        <v>0</v>
      </c>
      <c r="F28" s="288"/>
      <c r="G28" s="289">
        <f ca="1">'Item Prices'!G16*E28</f>
        <v>0</v>
      </c>
      <c r="H28" s="290"/>
      <c r="I28" s="187"/>
      <c r="J28" s="189" cm="1">
        <f t="array" aca="1" ref="J28" ca="1">COUNTIFS(INDIRECT(_xlfn.CONCAT("E12:F",MATCH("Order Totals",RIGHT($C:$C,12),0)-7)),$C28,INDIRECT(_xlfn.CONCAT("G12:H",MATCH("Order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28" s="189" cm="1">
        <f t="array" aca="1" ref="K28" ca="1">COUNTIFS(INDIRECT(_xlfn.CONCAT("E12:F",MATCH("Order Totals",RIGHT($C:$C,12),0)-7)),$C28,INDIRECT(_xlfn.CONCAT("G12:H",MATCH("Order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28" s="189" cm="1">
        <f t="array" aca="1" ref="L28" ca="1">COUNTIFS(INDIRECT(_xlfn.CONCAT("E12:F",MATCH("Order Totals",RIGHT($C:$C,12),0)-7)),$C28,INDIRECT(_xlfn.CONCAT("G12:H",MATCH("Order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28" s="189" cm="1">
        <f t="array" aca="1" ref="M28" ca="1">COUNTIFS(INDIRECT(_xlfn.CONCAT("E12:F",MATCH("Order Totals",RIGHT($C:$C,12),0)-7)),$C28,INDIRECT(_xlfn.CONCAT("G12:H",MATCH("Order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28" s="189" cm="1">
        <f t="array" aca="1" ref="N28" ca="1">COUNTIFS(INDIRECT(_xlfn.CONCAT("E12:F",MATCH("Order Totals",RIGHT($C:$C,12),0)-7)),$C28,INDIRECT(_xlfn.CONCAT("G12:H",MATCH("Order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28" s="189" cm="1">
        <f t="array" aca="1" ref="O28" ca="1">COUNTIFS(INDIRECT(_xlfn.CONCAT("E12:F",MATCH("Order Totals",RIGHT($C:$C,12),0)-7)),$C28,INDIRECT(_xlfn.CONCAT("G12:H",MATCH("Order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28" s="189" cm="1">
        <f t="array" aca="1" ref="P28" ca="1">COUNTIFS(INDIRECT(_xlfn.CONCAT("E12:F",MATCH("Order Totals",RIGHT($C:$C,12),0)-7)),$C28,INDIRECT(_xlfn.CONCAT("G12:H",MATCH("Order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28" s="189" cm="1">
        <f t="array" aca="1" ref="Q28" ca="1">COUNTIFS(INDIRECT(_xlfn.CONCAT("E12:F",MATCH("Order Totals",RIGHT($C:$C,12),0)-7)),$C28,INDIRECT(_xlfn.CONCAT("G12:H",MATCH("Order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28" s="189" cm="1">
        <f t="array" aca="1" ref="R28" ca="1">COUNTIFS(INDIRECT(_xlfn.CONCAT("E12:F",MATCH("Order Totals",RIGHT($C:$C,12),0)-7)),$C28,INDIRECT(_xlfn.CONCAT("G12:H",MATCH("Order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28" s="189" cm="1">
        <f t="array" aca="1" ref="S28" ca="1">COUNTIFS(INDIRECT(_xlfn.CONCAT("E12:F",MATCH("Order Totals",RIGHT($C:$C,12),0)-7)),$C28,INDIRECT(_xlfn.CONCAT("G12:H",MATCH("Order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28" s="189" cm="1">
        <f t="array" aca="1" ref="T28" ca="1">COUNTIFS(INDIRECT(_xlfn.CONCAT("E12:F",MATCH("Order Totals",RIGHT($C:$C,12),0)-7)),$C28,INDIRECT(_xlfn.CONCAT("G12:H",MATCH("Order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28" s="189" cm="1">
        <f t="array" aca="1" ref="U28" ca="1">COUNTIFS(INDIRECT(_xlfn.CONCAT("E12:F",MATCH("Order Totals",RIGHT($C:$C,12),0)-7)),$C28,INDIRECT(_xlfn.CONCAT("G12:H",MATCH("Order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28" s="109"/>
    </row>
    <row r="29" spans="2:22" x14ac:dyDescent="0.2">
      <c r="B29" s="107"/>
      <c r="C29" s="287" t="str">
        <f>'Item Prices'!D19</f>
        <v>BUZZSAW</v>
      </c>
      <c r="D29" s="288"/>
      <c r="E29" s="287" cm="1">
        <f t="array" aca="1" ref="E29" ca="1">COUNTIF(INDIRECT(_xlfn.CONCAT("E12:E",MATCH("Order Totals",RIGHT($C:$C,12),0)-7)),$C29)</f>
        <v>0</v>
      </c>
      <c r="F29" s="288"/>
      <c r="G29" s="289">
        <f ca="1">'Item Prices'!G19*E29</f>
        <v>0</v>
      </c>
      <c r="H29" s="290"/>
      <c r="I29" s="187"/>
      <c r="J29" s="189" cm="1">
        <f t="array" aca="1" ref="J29" ca="1">COUNTIFS(INDIRECT(_xlfn.CONCAT("E12:F",MATCH("Order Totals",RIGHT($C:$C,12),0)-7)),$C29,INDIRECT(_xlfn.CONCAT("G12:H",MATCH("Order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29" s="189" cm="1">
        <f t="array" aca="1" ref="K29" ca="1">COUNTIFS(INDIRECT(_xlfn.CONCAT("E12:F",MATCH("Order Totals",RIGHT($C:$C,12),0)-7)),$C29,INDIRECT(_xlfn.CONCAT("G12:H",MATCH("Order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29" s="189" cm="1">
        <f t="array" aca="1" ref="L29" ca="1">COUNTIFS(INDIRECT(_xlfn.CONCAT("E12:F",MATCH("Order Totals",RIGHT($C:$C,12),0)-7)),$C29,INDIRECT(_xlfn.CONCAT("G12:H",MATCH("Order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29" s="189" cm="1">
        <f t="array" aca="1" ref="M29" ca="1">COUNTIFS(INDIRECT(_xlfn.CONCAT("E12:F",MATCH("Order Totals",RIGHT($C:$C,12),0)-7)),$C29,INDIRECT(_xlfn.CONCAT("G12:H",MATCH("Order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29" s="189" cm="1">
        <f t="array" aca="1" ref="N29" ca="1">COUNTIFS(INDIRECT(_xlfn.CONCAT("E12:F",MATCH("Order Totals",RIGHT($C:$C,12),0)-7)),$C29,INDIRECT(_xlfn.CONCAT("G12:H",MATCH("Order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29" s="189" cm="1">
        <f t="array" aca="1" ref="O29" ca="1">COUNTIFS(INDIRECT(_xlfn.CONCAT("E12:F",MATCH("Order Totals",RIGHT($C:$C,12),0)-7)),$C29,INDIRECT(_xlfn.CONCAT("G12:H",MATCH("Order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29" s="189" cm="1">
        <f t="array" aca="1" ref="P29" ca="1">COUNTIFS(INDIRECT(_xlfn.CONCAT("E12:F",MATCH("Order Totals",RIGHT($C:$C,12),0)-7)),$C29,INDIRECT(_xlfn.CONCAT("G12:H",MATCH("Order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29" s="189" cm="1">
        <f t="array" aca="1" ref="Q29" ca="1">COUNTIFS(INDIRECT(_xlfn.CONCAT("E12:F",MATCH("Order Totals",RIGHT($C:$C,12),0)-7)),$C29,INDIRECT(_xlfn.CONCAT("G12:H",MATCH("Order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29" s="189" cm="1">
        <f t="array" aca="1" ref="R29" ca="1">COUNTIFS(INDIRECT(_xlfn.CONCAT("E12:F",MATCH("Order Totals",RIGHT($C:$C,12),0)-7)),$C29,INDIRECT(_xlfn.CONCAT("G12:H",MATCH("Order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29" s="189" cm="1">
        <f t="array" aca="1" ref="S29" ca="1">COUNTIFS(INDIRECT(_xlfn.CONCAT("E12:F",MATCH("Order Totals",RIGHT($C:$C,12),0)-7)),$C29,INDIRECT(_xlfn.CONCAT("G12:H",MATCH("Order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29" s="189" cm="1">
        <f t="array" aca="1" ref="T29" ca="1">COUNTIFS(INDIRECT(_xlfn.CONCAT("E12:F",MATCH("Order Totals",RIGHT($C:$C,12),0)-7)),$C29,INDIRECT(_xlfn.CONCAT("G12:H",MATCH("Order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29" s="189" cm="1">
        <f t="array" aca="1" ref="U29" ca="1">COUNTIFS(INDIRECT(_xlfn.CONCAT("E12:F",MATCH("Order Totals",RIGHT($C:$C,12),0)-7)),$C29,INDIRECT(_xlfn.CONCAT("G12:H",MATCH("Order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29" s="109"/>
    </row>
    <row r="30" spans="2:22" x14ac:dyDescent="0.2">
      <c r="B30" s="107"/>
      <c r="C30" s="287" t="str">
        <f>'Item Prices'!D22</f>
        <v>SCREWDRIVER</v>
      </c>
      <c r="D30" s="288"/>
      <c r="E30" s="287" cm="1">
        <f t="array" aca="1" ref="E30" ca="1">COUNTIF(INDIRECT(_xlfn.CONCAT("E12:E",MATCH("Order Totals",RIGHT($C:$C,12),0)-7)),$C30)</f>
        <v>0</v>
      </c>
      <c r="F30" s="288"/>
      <c r="G30" s="289">
        <f ca="1">'Item Prices'!G22*E30</f>
        <v>0</v>
      </c>
      <c r="H30" s="290"/>
      <c r="I30" s="187"/>
      <c r="J30" s="189" cm="1">
        <f t="array" aca="1" ref="J30" ca="1">COUNTIFS(INDIRECT(_xlfn.CONCAT("E12:F",MATCH("Order Totals",RIGHT($C:$C,12),0)-7)),$C30,INDIRECT(_xlfn.CONCAT("G12:H",MATCH("Order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0" s="189" cm="1">
        <f t="array" aca="1" ref="K30" ca="1">COUNTIFS(INDIRECT(_xlfn.CONCAT("E12:F",MATCH("Order Totals",RIGHT($C:$C,12),0)-7)),$C30,INDIRECT(_xlfn.CONCAT("G12:H",MATCH("Order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0" s="189" cm="1">
        <f t="array" aca="1" ref="L30" ca="1">COUNTIFS(INDIRECT(_xlfn.CONCAT("E12:F",MATCH("Order Totals",RIGHT($C:$C,12),0)-7)),$C30,INDIRECT(_xlfn.CONCAT("G12:H",MATCH("Order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0" s="189" cm="1">
        <f t="array" aca="1" ref="M30" ca="1">COUNTIFS(INDIRECT(_xlfn.CONCAT("E12:F",MATCH("Order Totals",RIGHT($C:$C,12),0)-7)),$C30,INDIRECT(_xlfn.CONCAT("G12:H",MATCH("Order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0" s="189" cm="1">
        <f t="array" aca="1" ref="N30" ca="1">COUNTIFS(INDIRECT(_xlfn.CONCAT("E12:F",MATCH("Order Totals",RIGHT($C:$C,12),0)-7)),$C30,INDIRECT(_xlfn.CONCAT("G12:H",MATCH("Order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0" s="189" cm="1">
        <f t="array" aca="1" ref="O30" ca="1">COUNTIFS(INDIRECT(_xlfn.CONCAT("E12:F",MATCH("Order Totals",RIGHT($C:$C,12),0)-7)),$C30,INDIRECT(_xlfn.CONCAT("G12:H",MATCH("Order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0" s="189" cm="1">
        <f t="array" aca="1" ref="P30" ca="1">COUNTIFS(INDIRECT(_xlfn.CONCAT("E12:F",MATCH("Order Totals",RIGHT($C:$C,12),0)-7)),$C30,INDIRECT(_xlfn.CONCAT("G12:H",MATCH("Order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0" s="189" cm="1">
        <f t="array" aca="1" ref="Q30" ca="1">COUNTIFS(INDIRECT(_xlfn.CONCAT("E12:F",MATCH("Order Totals",RIGHT($C:$C,12),0)-7)),$C30,INDIRECT(_xlfn.CONCAT("G12:H",MATCH("Order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0" s="189" cm="1">
        <f t="array" aca="1" ref="R30" ca="1">COUNTIFS(INDIRECT(_xlfn.CONCAT("E12:F",MATCH("Order Totals",RIGHT($C:$C,12),0)-7)),$C30,INDIRECT(_xlfn.CONCAT("G12:H",MATCH("Order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0" s="189" cm="1">
        <f t="array" aca="1" ref="S30" ca="1">COUNTIFS(INDIRECT(_xlfn.CONCAT("E12:F",MATCH("Order Totals",RIGHT($C:$C,12),0)-7)),$C30,INDIRECT(_xlfn.CONCAT("G12:H",MATCH("Order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0" s="189" cm="1">
        <f t="array" aca="1" ref="T30" ca="1">COUNTIFS(INDIRECT(_xlfn.CONCAT("E12:F",MATCH("Order Totals",RIGHT($C:$C,12),0)-7)),$C30,INDIRECT(_xlfn.CONCAT("G12:H",MATCH("Order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0" s="189" cm="1">
        <f t="array" aca="1" ref="U30" ca="1">COUNTIFS(INDIRECT(_xlfn.CONCAT("E12:F",MATCH("Order Totals",RIGHT($C:$C,12),0)-7)),$C30,INDIRECT(_xlfn.CONCAT("G12:H",MATCH("Order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0" s="109"/>
    </row>
    <row r="31" spans="2:22" x14ac:dyDescent="0.2">
      <c r="B31" s="107"/>
      <c r="C31" s="287" t="str">
        <f>'Item Prices'!D25</f>
        <v>NAILS</v>
      </c>
      <c r="D31" s="288"/>
      <c r="E31" s="287" cm="1">
        <f t="array" aca="1" ref="E31" ca="1">COUNTIF(INDIRECT(_xlfn.CONCAT("E12:E",MATCH("Order Totals",RIGHT($C:$C,12),0)-7)),$C31)</f>
        <v>0</v>
      </c>
      <c r="F31" s="288"/>
      <c r="G31" s="289">
        <f ca="1">'Item Prices'!G25*E31</f>
        <v>0</v>
      </c>
      <c r="H31" s="290"/>
      <c r="I31" s="187"/>
      <c r="J31" s="189" cm="1">
        <f t="array" aca="1" ref="J31" ca="1">COUNTIFS(INDIRECT(_xlfn.CONCAT("E12:F",MATCH("Order Totals",RIGHT($C:$C,12),0)-7)),$C31,INDIRECT(_xlfn.CONCAT("G12:H",MATCH("Order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1" s="189" cm="1">
        <f t="array" aca="1" ref="K31" ca="1">COUNTIFS(INDIRECT(_xlfn.CONCAT("E12:F",MATCH("Order Totals",RIGHT($C:$C,12),0)-7)),$C31,INDIRECT(_xlfn.CONCAT("G12:H",MATCH("Order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1" s="189" cm="1">
        <f t="array" aca="1" ref="L31" ca="1">COUNTIFS(INDIRECT(_xlfn.CONCAT("E12:F",MATCH("Order Totals",RIGHT($C:$C,12),0)-7)),$C31,INDIRECT(_xlfn.CONCAT("G12:H",MATCH("Order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1" s="189" cm="1">
        <f t="array" aca="1" ref="M31" ca="1">COUNTIFS(INDIRECT(_xlfn.CONCAT("E12:F",MATCH("Order Totals",RIGHT($C:$C,12),0)-7)),$C31,INDIRECT(_xlfn.CONCAT("G12:H",MATCH("Order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1" s="189" cm="1">
        <f t="array" aca="1" ref="N31" ca="1">COUNTIFS(INDIRECT(_xlfn.CONCAT("E12:F",MATCH("Order Totals",RIGHT($C:$C,12),0)-7)),$C31,INDIRECT(_xlfn.CONCAT("G12:H",MATCH("Order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1" s="189" cm="1">
        <f t="array" aca="1" ref="O31" ca="1">COUNTIFS(INDIRECT(_xlfn.CONCAT("E12:F",MATCH("Order Totals",RIGHT($C:$C,12),0)-7)),$C31,INDIRECT(_xlfn.CONCAT("G12:H",MATCH("Order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1" s="189" cm="1">
        <f t="array" aca="1" ref="P31" ca="1">COUNTIFS(INDIRECT(_xlfn.CONCAT("E12:F",MATCH("Order Totals",RIGHT($C:$C,12),0)-7)),$C31,INDIRECT(_xlfn.CONCAT("G12:H",MATCH("Order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1" s="189" cm="1">
        <f t="array" aca="1" ref="Q31" ca="1">COUNTIFS(INDIRECT(_xlfn.CONCAT("E12:F",MATCH("Order Totals",RIGHT($C:$C,12),0)-7)),$C31,INDIRECT(_xlfn.CONCAT("G12:H",MATCH("Order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1" s="189" cm="1">
        <f t="array" aca="1" ref="R31" ca="1">COUNTIFS(INDIRECT(_xlfn.CONCAT("E12:F",MATCH("Order Totals",RIGHT($C:$C,12),0)-7)),$C31,INDIRECT(_xlfn.CONCAT("G12:H",MATCH("Order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1" s="189" cm="1">
        <f t="array" aca="1" ref="S31" ca="1">COUNTIFS(INDIRECT(_xlfn.CONCAT("E12:F",MATCH("Order Totals",RIGHT($C:$C,12),0)-7)),$C31,INDIRECT(_xlfn.CONCAT("G12:H",MATCH("Order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1" s="189" cm="1">
        <f t="array" aca="1" ref="T31" ca="1">COUNTIFS(INDIRECT(_xlfn.CONCAT("E12:F",MATCH("Order Totals",RIGHT($C:$C,12),0)-7)),$C31,INDIRECT(_xlfn.CONCAT("G12:H",MATCH("Order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1" s="189" cm="1">
        <f t="array" aca="1" ref="U31" ca="1">COUNTIFS(INDIRECT(_xlfn.CONCAT("E12:F",MATCH("Order Totals",RIGHT($C:$C,12),0)-7)),$C31,INDIRECT(_xlfn.CONCAT("G12:H",MATCH("Order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1" s="109"/>
    </row>
    <row r="32" spans="2:22" ht="17" thickBot="1" x14ac:dyDescent="0.25">
      <c r="B32" s="107"/>
      <c r="C32" s="287" t="str">
        <f>'Item Prices'!D28</f>
        <v>MEASURING TAPE</v>
      </c>
      <c r="D32" s="288"/>
      <c r="E32" s="287" cm="1">
        <f t="array" aca="1" ref="E32" ca="1">COUNTIF(INDIRECT(_xlfn.CONCAT("E12:E",MATCH("Order Totals",RIGHT($C:$C,12),0)-7)),$C32)</f>
        <v>0</v>
      </c>
      <c r="F32" s="288"/>
      <c r="G32" s="289">
        <f ca="1">'Item Prices'!G28*E32</f>
        <v>0</v>
      </c>
      <c r="H32" s="290"/>
      <c r="I32" s="190"/>
      <c r="J32" s="189" cm="1">
        <f t="array" aca="1" ref="J32" ca="1">COUNTIFS(INDIRECT(_xlfn.CONCAT("E12:F",MATCH("Order Totals",RIGHT($C:$C,12),0)-7)),$C32,INDIRECT(_xlfn.CONCAT("G12:H",MATCH("Order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2" s="189" cm="1">
        <f t="array" aca="1" ref="K32" ca="1">COUNTIFS(INDIRECT(_xlfn.CONCAT("E12:F",MATCH("Order Totals",RIGHT($C:$C,12),0)-7)),$C32,INDIRECT(_xlfn.CONCAT("G12:H",MATCH("Order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2" s="189" cm="1">
        <f t="array" aca="1" ref="L32" ca="1">COUNTIFS(INDIRECT(_xlfn.CONCAT("E12:F",MATCH("Order Totals",RIGHT($C:$C,12),0)-7)),$C32,INDIRECT(_xlfn.CONCAT("G12:H",MATCH("Order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2" s="189" cm="1">
        <f t="array" aca="1" ref="M32" ca="1">COUNTIFS(INDIRECT(_xlfn.CONCAT("E12:F",MATCH("Order Totals",RIGHT($C:$C,12),0)-7)),$C32,INDIRECT(_xlfn.CONCAT("G12:H",MATCH("Order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2" s="189" cm="1">
        <f t="array" aca="1" ref="N32" ca="1">COUNTIFS(INDIRECT(_xlfn.CONCAT("E12:F",MATCH("Order Totals",RIGHT($C:$C,12),0)-7)),$C32,INDIRECT(_xlfn.CONCAT("G12:H",MATCH("Order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2" s="189" cm="1">
        <f t="array" aca="1" ref="O32" ca="1">COUNTIFS(INDIRECT(_xlfn.CONCAT("E12:F",MATCH("Order Totals",RIGHT($C:$C,12),0)-7)),$C32,INDIRECT(_xlfn.CONCAT("G12:H",MATCH("Order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2" s="189" cm="1">
        <f t="array" aca="1" ref="P32" ca="1">COUNTIFS(INDIRECT(_xlfn.CONCAT("E12:F",MATCH("Order Totals",RIGHT($C:$C,12),0)-7)),$C32,INDIRECT(_xlfn.CONCAT("G12:H",MATCH("Order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2" s="189" cm="1">
        <f t="array" aca="1" ref="Q32" ca="1">COUNTIFS(INDIRECT(_xlfn.CONCAT("E12:F",MATCH("Order Totals",RIGHT($C:$C,12),0)-7)),$C32,INDIRECT(_xlfn.CONCAT("G12:H",MATCH("Order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2" s="189" cm="1">
        <f t="array" aca="1" ref="R32" ca="1">COUNTIFS(INDIRECT(_xlfn.CONCAT("E12:F",MATCH("Order Totals",RIGHT($C:$C,12),0)-7)),$C32,INDIRECT(_xlfn.CONCAT("G12:H",MATCH("Order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2" s="189" cm="1">
        <f t="array" aca="1" ref="S32" ca="1">COUNTIFS(INDIRECT(_xlfn.CONCAT("E12:F",MATCH("Order Totals",RIGHT($C:$C,12),0)-7)),$C32,INDIRECT(_xlfn.CONCAT("G12:H",MATCH("Order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2" s="189" cm="1">
        <f t="array" aca="1" ref="T32" ca="1">COUNTIFS(INDIRECT(_xlfn.CONCAT("E12:F",MATCH("Order Totals",RIGHT($C:$C,12),0)-7)),$C32,INDIRECT(_xlfn.CONCAT("G12:H",MATCH("Order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2" s="189" cm="1">
        <f t="array" aca="1" ref="U32" ca="1">COUNTIFS(INDIRECT(_xlfn.CONCAT("E12:F",MATCH("Order Totals",RIGHT($C:$C,12),0)-7)),$C32,INDIRECT(_xlfn.CONCAT("G12:H",MATCH("Order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2" s="109"/>
    </row>
    <row r="33" spans="2:22" x14ac:dyDescent="0.2">
      <c r="B33" s="10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09"/>
    </row>
    <row r="34" spans="2:22" ht="17" thickBot="1" x14ac:dyDescent="0.25">
      <c r="B34" s="110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2"/>
    </row>
    <row r="35" spans="2:22" ht="18" thickTop="1" thickBot="1" x14ac:dyDescent="0.25">
      <c r="B35" s="4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6"/>
    </row>
  </sheetData>
  <sheetProtection sheet="1" objects="1" scenarios="1" selectLockedCells="1"/>
  <mergeCells count="30">
    <mergeCell ref="C19:H23"/>
    <mergeCell ref="C25:D26"/>
    <mergeCell ref="E25:F26"/>
    <mergeCell ref="G25:H26"/>
    <mergeCell ref="C4:H8"/>
    <mergeCell ref="C10:D11"/>
    <mergeCell ref="E10:F11"/>
    <mergeCell ref="G10:H11"/>
    <mergeCell ref="C12:D12"/>
    <mergeCell ref="E12:F12"/>
    <mergeCell ref="G12:H12"/>
    <mergeCell ref="J25:U25"/>
    <mergeCell ref="C28:D28"/>
    <mergeCell ref="E28:F28"/>
    <mergeCell ref="G28:H28"/>
    <mergeCell ref="C29:D29"/>
    <mergeCell ref="E29:F29"/>
    <mergeCell ref="G29:H29"/>
    <mergeCell ref="C27:D27"/>
    <mergeCell ref="E27:F27"/>
    <mergeCell ref="G27:H27"/>
    <mergeCell ref="C32:D32"/>
    <mergeCell ref="E32:F32"/>
    <mergeCell ref="G32:H32"/>
    <mergeCell ref="C30:D30"/>
    <mergeCell ref="E30:F30"/>
    <mergeCell ref="G30:H30"/>
    <mergeCell ref="C31:D31"/>
    <mergeCell ref="E31:F31"/>
    <mergeCell ref="G31:H31"/>
  </mergeCells>
  <conditionalFormatting sqref="J12:JJ12">
    <cfRule type="expression" dxfId="2" priority="1" stopIfTrue="1">
      <formula>IF(J$11=$G12,TRUE,FALSE)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C0C68-3972-D94E-8351-41FD1F8D4F2E}">
  <sheetPr codeName="Sheet10"/>
  <dimension ref="B3:JK35"/>
  <sheetViews>
    <sheetView showGridLines="0" zoomScale="61" zoomScaleNormal="89" workbookViewId="0">
      <selection activeCell="Z46" sqref="Z46"/>
    </sheetView>
  </sheetViews>
  <sheetFormatPr baseColWidth="10" defaultRowHeight="16" x14ac:dyDescent="0.2"/>
  <cols>
    <col min="9" max="9" width="4.33203125" customWidth="1"/>
  </cols>
  <sheetData>
    <row r="3" spans="2:271" ht="17" customHeight="1" thickBot="1" x14ac:dyDescent="0.25"/>
    <row r="4" spans="2:271" ht="15" customHeight="1" x14ac:dyDescent="0.2">
      <c r="B4" s="104"/>
      <c r="C4" s="298" t="s">
        <v>86</v>
      </c>
      <c r="D4" s="298"/>
      <c r="E4" s="298"/>
      <c r="F4" s="298"/>
      <c r="G4" s="298"/>
      <c r="H4" s="298"/>
      <c r="I4" s="180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7"/>
      <c r="BC4" s="117"/>
      <c r="BD4" s="117"/>
      <c r="BE4" s="117"/>
      <c r="BF4" s="117"/>
      <c r="BG4" s="117"/>
      <c r="BH4" s="117"/>
      <c r="BI4" s="117"/>
      <c r="BJ4" s="117"/>
      <c r="BK4" s="117"/>
      <c r="BL4" s="117"/>
      <c r="BM4" s="117"/>
      <c r="BN4" s="117"/>
      <c r="BO4" s="117"/>
      <c r="BP4" s="117"/>
      <c r="BQ4" s="117"/>
      <c r="BR4" s="117"/>
      <c r="BS4" s="117"/>
      <c r="BT4" s="117"/>
      <c r="BU4" s="117"/>
      <c r="BV4" s="117"/>
      <c r="BW4" s="117"/>
      <c r="BX4" s="117"/>
      <c r="BY4" s="117"/>
      <c r="BZ4" s="117"/>
      <c r="CA4" s="117"/>
      <c r="CB4" s="117"/>
      <c r="CC4" s="117"/>
      <c r="CD4" s="117"/>
      <c r="CE4" s="117"/>
      <c r="CF4" s="117"/>
      <c r="CG4" s="117"/>
      <c r="CH4" s="117"/>
      <c r="CI4" s="117"/>
      <c r="CJ4" s="117"/>
      <c r="CK4" s="117"/>
      <c r="CL4" s="117"/>
      <c r="CM4" s="117"/>
      <c r="CN4" s="117"/>
      <c r="CO4" s="117"/>
      <c r="CP4" s="117"/>
      <c r="CQ4" s="117"/>
      <c r="CR4" s="117"/>
      <c r="CS4" s="117"/>
      <c r="CT4" s="117"/>
      <c r="CU4" s="117"/>
      <c r="CV4" s="117"/>
      <c r="CW4" s="117"/>
      <c r="CX4" s="117"/>
      <c r="CY4" s="117"/>
      <c r="CZ4" s="117"/>
      <c r="DA4" s="117"/>
      <c r="DB4" s="117"/>
      <c r="DC4" s="117"/>
      <c r="DD4" s="117"/>
      <c r="DE4" s="117"/>
      <c r="DF4" s="117"/>
      <c r="DG4" s="117"/>
      <c r="DH4" s="117"/>
      <c r="DI4" s="117"/>
      <c r="DJ4" s="117"/>
      <c r="DK4" s="117"/>
      <c r="DL4" s="117"/>
      <c r="DM4" s="117"/>
      <c r="DN4" s="117"/>
      <c r="DO4" s="117"/>
      <c r="DP4" s="117"/>
      <c r="DQ4" s="117"/>
      <c r="DR4" s="117"/>
      <c r="DS4" s="117"/>
      <c r="DT4" s="117"/>
      <c r="DU4" s="117"/>
      <c r="DV4" s="117"/>
      <c r="DW4" s="117"/>
      <c r="DX4" s="117"/>
      <c r="DY4" s="117"/>
      <c r="DZ4" s="117"/>
      <c r="EA4" s="117"/>
      <c r="EB4" s="117"/>
      <c r="EC4" s="117"/>
      <c r="ED4" s="117"/>
      <c r="EE4" s="117"/>
      <c r="EF4" s="117"/>
      <c r="EG4" s="117"/>
      <c r="EH4" s="117"/>
      <c r="EI4" s="117"/>
      <c r="EJ4" s="117"/>
      <c r="EK4" s="117"/>
      <c r="EL4" s="117"/>
      <c r="EM4" s="117"/>
      <c r="EN4" s="117"/>
      <c r="EO4" s="117"/>
      <c r="EP4" s="117"/>
      <c r="EQ4" s="117"/>
      <c r="ER4" s="117"/>
      <c r="ES4" s="117"/>
      <c r="ET4" s="117"/>
      <c r="EU4" s="117"/>
      <c r="EV4" s="117"/>
      <c r="EW4" s="117"/>
      <c r="EX4" s="117"/>
      <c r="EY4" s="117"/>
      <c r="EZ4" s="117"/>
      <c r="FA4" s="117"/>
      <c r="FB4" s="117"/>
      <c r="FC4" s="117"/>
      <c r="FD4" s="117"/>
      <c r="FE4" s="117"/>
      <c r="FF4" s="117"/>
      <c r="FG4" s="117"/>
      <c r="FH4" s="117"/>
      <c r="FI4" s="117"/>
      <c r="FJ4" s="117"/>
      <c r="FK4" s="117"/>
      <c r="FL4" s="117"/>
      <c r="FM4" s="117"/>
      <c r="FN4" s="117"/>
      <c r="FO4" s="117"/>
      <c r="FP4" s="117"/>
      <c r="FQ4" s="117"/>
      <c r="FR4" s="117"/>
      <c r="FS4" s="117"/>
      <c r="FT4" s="117"/>
      <c r="FU4" s="117"/>
      <c r="FV4" s="117"/>
      <c r="FW4" s="117"/>
      <c r="FX4" s="117"/>
      <c r="FY4" s="117"/>
      <c r="FZ4" s="117"/>
      <c r="GA4" s="117"/>
      <c r="GB4" s="117"/>
      <c r="GC4" s="117"/>
      <c r="GD4" s="117"/>
      <c r="GE4" s="117"/>
      <c r="GF4" s="117"/>
      <c r="GG4" s="117"/>
      <c r="GH4" s="117"/>
      <c r="GI4" s="117"/>
      <c r="GJ4" s="117"/>
      <c r="GK4" s="117"/>
      <c r="GL4" s="117"/>
      <c r="GM4" s="117"/>
      <c r="GN4" s="117"/>
      <c r="GO4" s="117"/>
      <c r="GP4" s="117"/>
      <c r="GQ4" s="117"/>
      <c r="GR4" s="117"/>
      <c r="GS4" s="117"/>
      <c r="GT4" s="117"/>
      <c r="GU4" s="117"/>
      <c r="GV4" s="117"/>
      <c r="GW4" s="117"/>
      <c r="GX4" s="117"/>
      <c r="GY4" s="117"/>
      <c r="GZ4" s="117"/>
      <c r="HA4" s="117"/>
      <c r="HB4" s="117"/>
      <c r="HC4" s="117"/>
      <c r="HD4" s="117"/>
      <c r="HE4" s="117"/>
      <c r="HF4" s="117"/>
      <c r="HG4" s="117"/>
      <c r="HH4" s="117"/>
      <c r="HI4" s="117"/>
      <c r="HJ4" s="117"/>
      <c r="HK4" s="117"/>
      <c r="HL4" s="117"/>
      <c r="HM4" s="117"/>
      <c r="HN4" s="117"/>
      <c r="HO4" s="117"/>
      <c r="HP4" s="117"/>
      <c r="HQ4" s="117"/>
      <c r="HR4" s="117"/>
      <c r="HS4" s="117"/>
      <c r="HT4" s="117"/>
      <c r="HU4" s="117"/>
      <c r="HV4" s="117"/>
      <c r="HW4" s="117"/>
      <c r="HX4" s="117"/>
      <c r="HY4" s="117"/>
      <c r="HZ4" s="117"/>
      <c r="IA4" s="117"/>
      <c r="IB4" s="117"/>
      <c r="IC4" s="117"/>
      <c r="ID4" s="117"/>
      <c r="IE4" s="117"/>
      <c r="IF4" s="117"/>
      <c r="IG4" s="117"/>
      <c r="IH4" s="117"/>
      <c r="II4" s="117"/>
      <c r="IJ4" s="117"/>
      <c r="IK4" s="117"/>
      <c r="IL4" s="117"/>
      <c r="IM4" s="117"/>
      <c r="IN4" s="117"/>
      <c r="IO4" s="117"/>
      <c r="IP4" s="117"/>
      <c r="IQ4" s="117"/>
      <c r="IR4" s="117"/>
      <c r="IS4" s="117"/>
      <c r="IT4" s="117"/>
      <c r="IU4" s="117"/>
      <c r="IV4" s="117"/>
      <c r="IW4" s="117"/>
      <c r="IX4" s="117"/>
      <c r="IY4" s="117"/>
      <c r="IZ4" s="117"/>
      <c r="JA4" s="117"/>
      <c r="JB4" s="117"/>
      <c r="JC4" s="117"/>
      <c r="JD4" s="117"/>
      <c r="JE4" s="117"/>
      <c r="JF4" s="117"/>
      <c r="JG4" s="117"/>
      <c r="JH4" s="117"/>
      <c r="JI4" s="117"/>
      <c r="JJ4" s="117"/>
      <c r="JK4" s="106"/>
    </row>
    <row r="5" spans="2:271" ht="15" customHeight="1" x14ac:dyDescent="0.2">
      <c r="B5" s="107"/>
      <c r="C5" s="299"/>
      <c r="D5" s="299"/>
      <c r="E5" s="299"/>
      <c r="F5" s="299"/>
      <c r="G5" s="299"/>
      <c r="H5" s="299"/>
      <c r="I5" s="181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  <c r="BA5" s="113"/>
      <c r="BB5" s="113"/>
      <c r="BC5" s="113"/>
      <c r="BD5" s="113"/>
      <c r="BE5" s="113"/>
      <c r="BF5" s="113"/>
      <c r="BG5" s="113"/>
      <c r="BH5" s="113"/>
      <c r="BI5" s="113"/>
      <c r="BJ5" s="113"/>
      <c r="BK5" s="113"/>
      <c r="BL5" s="113"/>
      <c r="BM5" s="113"/>
      <c r="BN5" s="113"/>
      <c r="BO5" s="113"/>
      <c r="BP5" s="113"/>
      <c r="BQ5" s="113"/>
      <c r="BR5" s="113"/>
      <c r="BS5" s="113"/>
      <c r="BT5" s="113"/>
      <c r="BU5" s="113"/>
      <c r="BV5" s="113"/>
      <c r="BW5" s="113"/>
      <c r="BX5" s="113"/>
      <c r="BY5" s="113"/>
      <c r="BZ5" s="113"/>
      <c r="CA5" s="113"/>
      <c r="CB5" s="113"/>
      <c r="CC5" s="113"/>
      <c r="CD5" s="113"/>
      <c r="CE5" s="113"/>
      <c r="CF5" s="113"/>
      <c r="CG5" s="113"/>
      <c r="CH5" s="113"/>
      <c r="CI5" s="113"/>
      <c r="CJ5" s="113"/>
      <c r="CK5" s="113"/>
      <c r="CL5" s="113"/>
      <c r="CM5" s="113"/>
      <c r="CN5" s="113"/>
      <c r="CO5" s="113"/>
      <c r="CP5" s="113"/>
      <c r="CQ5" s="113"/>
      <c r="CR5" s="113"/>
      <c r="CS5" s="113"/>
      <c r="CT5" s="113"/>
      <c r="CU5" s="113"/>
      <c r="CV5" s="113"/>
      <c r="CW5" s="113"/>
      <c r="CX5" s="113"/>
      <c r="CY5" s="113"/>
      <c r="CZ5" s="113"/>
      <c r="DA5" s="113"/>
      <c r="DB5" s="113"/>
      <c r="DC5" s="113"/>
      <c r="DD5" s="113"/>
      <c r="DE5" s="113"/>
      <c r="DF5" s="113"/>
      <c r="DG5" s="113"/>
      <c r="DH5" s="113"/>
      <c r="DI5" s="113"/>
      <c r="DJ5" s="113"/>
      <c r="DK5" s="113"/>
      <c r="DL5" s="113"/>
      <c r="DM5" s="113"/>
      <c r="DN5" s="113"/>
      <c r="DO5" s="113"/>
      <c r="DP5" s="113"/>
      <c r="DQ5" s="113"/>
      <c r="DR5" s="113"/>
      <c r="DS5" s="113"/>
      <c r="DT5" s="113"/>
      <c r="DU5" s="113"/>
      <c r="DV5" s="113"/>
      <c r="DW5" s="113"/>
      <c r="DX5" s="113"/>
      <c r="DY5" s="113"/>
      <c r="DZ5" s="113"/>
      <c r="EA5" s="113"/>
      <c r="EB5" s="113"/>
      <c r="EC5" s="113"/>
      <c r="ED5" s="113"/>
      <c r="EE5" s="113"/>
      <c r="EF5" s="113"/>
      <c r="EG5" s="113"/>
      <c r="EH5" s="113"/>
      <c r="EI5" s="113"/>
      <c r="EJ5" s="113"/>
      <c r="EK5" s="113"/>
      <c r="EL5" s="113"/>
      <c r="EM5" s="113"/>
      <c r="EN5" s="113"/>
      <c r="EO5" s="113"/>
      <c r="EP5" s="113"/>
      <c r="EQ5" s="113"/>
      <c r="ER5" s="113"/>
      <c r="ES5" s="113"/>
      <c r="ET5" s="113"/>
      <c r="EU5" s="113"/>
      <c r="EV5" s="113"/>
      <c r="EW5" s="113"/>
      <c r="EX5" s="113"/>
      <c r="EY5" s="113"/>
      <c r="EZ5" s="113"/>
      <c r="FA5" s="113"/>
      <c r="FB5" s="113"/>
      <c r="FC5" s="113"/>
      <c r="FD5" s="113"/>
      <c r="FE5" s="113"/>
      <c r="FF5" s="113"/>
      <c r="FG5" s="113"/>
      <c r="FH5" s="113"/>
      <c r="FI5" s="113"/>
      <c r="FJ5" s="113"/>
      <c r="FK5" s="113"/>
      <c r="FL5" s="113"/>
      <c r="FM5" s="113"/>
      <c r="FN5" s="113"/>
      <c r="FO5" s="113"/>
      <c r="FP5" s="113"/>
      <c r="FQ5" s="113"/>
      <c r="FR5" s="113"/>
      <c r="FS5" s="113"/>
      <c r="FT5" s="113"/>
      <c r="FU5" s="113"/>
      <c r="FV5" s="113"/>
      <c r="FW5" s="113"/>
      <c r="FX5" s="113"/>
      <c r="FY5" s="113"/>
      <c r="FZ5" s="113"/>
      <c r="GA5" s="113"/>
      <c r="GB5" s="113"/>
      <c r="GC5" s="113"/>
      <c r="GD5" s="113"/>
      <c r="GE5" s="113"/>
      <c r="GF5" s="113"/>
      <c r="GG5" s="113"/>
      <c r="GH5" s="113"/>
      <c r="GI5" s="113"/>
      <c r="GJ5" s="113"/>
      <c r="GK5" s="113"/>
      <c r="GL5" s="113"/>
      <c r="GM5" s="113"/>
      <c r="GN5" s="113"/>
      <c r="GO5" s="113"/>
      <c r="GP5" s="113"/>
      <c r="GQ5" s="113"/>
      <c r="GR5" s="113"/>
      <c r="GS5" s="113"/>
      <c r="GT5" s="113"/>
      <c r="GU5" s="113"/>
      <c r="GV5" s="113"/>
      <c r="GW5" s="113"/>
      <c r="GX5" s="113"/>
      <c r="GY5" s="113"/>
      <c r="GZ5" s="113"/>
      <c r="HA5" s="113"/>
      <c r="HB5" s="113"/>
      <c r="HC5" s="113"/>
      <c r="HD5" s="113"/>
      <c r="HE5" s="113"/>
      <c r="HF5" s="113"/>
      <c r="HG5" s="113"/>
      <c r="HH5" s="113"/>
      <c r="HI5" s="113"/>
      <c r="HJ5" s="113"/>
      <c r="HK5" s="113"/>
      <c r="HL5" s="113"/>
      <c r="HM5" s="113"/>
      <c r="HN5" s="113"/>
      <c r="HO5" s="113"/>
      <c r="HP5" s="113"/>
      <c r="HQ5" s="113"/>
      <c r="HR5" s="113"/>
      <c r="HS5" s="113"/>
      <c r="HT5" s="113"/>
      <c r="HU5" s="113"/>
      <c r="HV5" s="113"/>
      <c r="HW5" s="113"/>
      <c r="HX5" s="113"/>
      <c r="HY5" s="113"/>
      <c r="HZ5" s="113"/>
      <c r="IA5" s="113"/>
      <c r="IB5" s="113"/>
      <c r="IC5" s="113"/>
      <c r="ID5" s="113"/>
      <c r="IE5" s="113"/>
      <c r="IF5" s="113"/>
      <c r="IG5" s="113"/>
      <c r="IH5" s="113"/>
      <c r="II5" s="113"/>
      <c r="IJ5" s="113"/>
      <c r="IK5" s="113"/>
      <c r="IL5" s="113"/>
      <c r="IM5" s="113"/>
      <c r="IN5" s="113"/>
      <c r="IO5" s="113"/>
      <c r="IP5" s="113"/>
      <c r="IQ5" s="113"/>
      <c r="IR5" s="113"/>
      <c r="IS5" s="113"/>
      <c r="IT5" s="113"/>
      <c r="IU5" s="113"/>
      <c r="IV5" s="113"/>
      <c r="IW5" s="113"/>
      <c r="IX5" s="113"/>
      <c r="IY5" s="113"/>
      <c r="IZ5" s="113"/>
      <c r="JA5" s="113"/>
      <c r="JB5" s="113"/>
      <c r="JC5" s="113"/>
      <c r="JD5" s="113"/>
      <c r="JE5" s="113"/>
      <c r="JF5" s="113"/>
      <c r="JG5" s="113"/>
      <c r="JH5" s="113"/>
      <c r="JI5" s="113"/>
      <c r="JJ5" s="113"/>
      <c r="JK5" s="109"/>
    </row>
    <row r="6" spans="2:271" ht="15" customHeight="1" x14ac:dyDescent="0.2">
      <c r="B6" s="107"/>
      <c r="C6" s="299"/>
      <c r="D6" s="299"/>
      <c r="E6" s="299"/>
      <c r="F6" s="299"/>
      <c r="G6" s="299"/>
      <c r="H6" s="299"/>
      <c r="I6" s="181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3"/>
      <c r="CF6" s="113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3"/>
      <c r="DT6" s="113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3"/>
      <c r="FH6" s="113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3"/>
      <c r="GV6" s="113"/>
      <c r="GW6" s="113"/>
      <c r="GX6" s="113"/>
      <c r="GY6" s="113"/>
      <c r="GZ6" s="113"/>
      <c r="HA6" s="113"/>
      <c r="HB6" s="113"/>
      <c r="HC6" s="113"/>
      <c r="HD6" s="113"/>
      <c r="HE6" s="113"/>
      <c r="HF6" s="113"/>
      <c r="HG6" s="113"/>
      <c r="HH6" s="113"/>
      <c r="HI6" s="113"/>
      <c r="HJ6" s="113"/>
      <c r="HK6" s="113"/>
      <c r="HL6" s="113"/>
      <c r="HM6" s="113"/>
      <c r="HN6" s="113"/>
      <c r="HO6" s="113"/>
      <c r="HP6" s="113"/>
      <c r="HQ6" s="113"/>
      <c r="HR6" s="113"/>
      <c r="HS6" s="113"/>
      <c r="HT6" s="113"/>
      <c r="HU6" s="113"/>
      <c r="HV6" s="113"/>
      <c r="HW6" s="113"/>
      <c r="HX6" s="113"/>
      <c r="HY6" s="113"/>
      <c r="HZ6" s="113"/>
      <c r="IA6" s="113"/>
      <c r="IB6" s="113"/>
      <c r="IC6" s="113"/>
      <c r="ID6" s="113"/>
      <c r="IE6" s="113"/>
      <c r="IF6" s="113"/>
      <c r="IG6" s="113"/>
      <c r="IH6" s="113"/>
      <c r="II6" s="113"/>
      <c r="IJ6" s="113"/>
      <c r="IK6" s="113"/>
      <c r="IL6" s="113"/>
      <c r="IM6" s="113"/>
      <c r="IN6" s="113"/>
      <c r="IO6" s="113"/>
      <c r="IP6" s="113"/>
      <c r="IQ6" s="113"/>
      <c r="IR6" s="113"/>
      <c r="IS6" s="113"/>
      <c r="IT6" s="113"/>
      <c r="IU6" s="113"/>
      <c r="IV6" s="113"/>
      <c r="IW6" s="113"/>
      <c r="IX6" s="113"/>
      <c r="IY6" s="113"/>
      <c r="IZ6" s="113"/>
      <c r="JA6" s="113"/>
      <c r="JB6" s="113"/>
      <c r="JC6" s="113"/>
      <c r="JD6" s="113"/>
      <c r="JE6" s="113"/>
      <c r="JF6" s="113"/>
      <c r="JG6" s="113"/>
      <c r="JH6" s="113"/>
      <c r="JI6" s="113"/>
      <c r="JJ6" s="113"/>
      <c r="JK6" s="109"/>
    </row>
    <row r="7" spans="2:271" ht="15" customHeight="1" x14ac:dyDescent="0.2">
      <c r="B7" s="107"/>
      <c r="C7" s="299"/>
      <c r="D7" s="299"/>
      <c r="E7" s="299"/>
      <c r="F7" s="299"/>
      <c r="G7" s="299"/>
      <c r="H7" s="299"/>
      <c r="I7" s="181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  <c r="BA7" s="113"/>
      <c r="BB7" s="113"/>
      <c r="BC7" s="113"/>
      <c r="BD7" s="113"/>
      <c r="BE7" s="113"/>
      <c r="BF7" s="113"/>
      <c r="BG7" s="113"/>
      <c r="BH7" s="113"/>
      <c r="BI7" s="113"/>
      <c r="BJ7" s="113"/>
      <c r="BK7" s="113"/>
      <c r="BL7" s="113"/>
      <c r="BM7" s="113"/>
      <c r="BN7" s="113"/>
      <c r="BO7" s="113"/>
      <c r="BP7" s="113"/>
      <c r="BQ7" s="113"/>
      <c r="BR7" s="113"/>
      <c r="BS7" s="113"/>
      <c r="BT7" s="113"/>
      <c r="BU7" s="113"/>
      <c r="BV7" s="113"/>
      <c r="BW7" s="113"/>
      <c r="BX7" s="113"/>
      <c r="BY7" s="113"/>
      <c r="BZ7" s="113"/>
      <c r="CA7" s="113"/>
      <c r="CB7" s="113"/>
      <c r="CC7" s="113"/>
      <c r="CD7" s="113"/>
      <c r="CE7" s="113"/>
      <c r="CF7" s="113"/>
      <c r="CG7" s="113"/>
      <c r="CH7" s="113"/>
      <c r="CI7" s="113"/>
      <c r="CJ7" s="113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113"/>
      <c r="DH7" s="113"/>
      <c r="DI7" s="113"/>
      <c r="DJ7" s="113"/>
      <c r="DK7" s="113"/>
      <c r="DL7" s="113"/>
      <c r="DM7" s="113"/>
      <c r="DN7" s="113"/>
      <c r="DO7" s="113"/>
      <c r="DP7" s="113"/>
      <c r="DQ7" s="113"/>
      <c r="DR7" s="113"/>
      <c r="DS7" s="113"/>
      <c r="DT7" s="113"/>
      <c r="DU7" s="113"/>
      <c r="DV7" s="113"/>
      <c r="DW7" s="113"/>
      <c r="DX7" s="113"/>
      <c r="DY7" s="113"/>
      <c r="DZ7" s="113"/>
      <c r="EA7" s="113"/>
      <c r="EB7" s="113"/>
      <c r="EC7" s="113"/>
      <c r="ED7" s="113"/>
      <c r="EE7" s="113"/>
      <c r="EF7" s="113"/>
      <c r="EG7" s="113"/>
      <c r="EH7" s="113"/>
      <c r="EI7" s="113"/>
      <c r="EJ7" s="113"/>
      <c r="EK7" s="113"/>
      <c r="EL7" s="113"/>
      <c r="EM7" s="113"/>
      <c r="EN7" s="113"/>
      <c r="EO7" s="113"/>
      <c r="EP7" s="113"/>
      <c r="EQ7" s="113"/>
      <c r="ER7" s="113"/>
      <c r="ES7" s="113"/>
      <c r="ET7" s="113"/>
      <c r="EU7" s="113"/>
      <c r="EV7" s="113"/>
      <c r="EW7" s="113"/>
      <c r="EX7" s="113"/>
      <c r="EY7" s="113"/>
      <c r="EZ7" s="113"/>
      <c r="FA7" s="113"/>
      <c r="FB7" s="113"/>
      <c r="FC7" s="113"/>
      <c r="FD7" s="113"/>
      <c r="FE7" s="113"/>
      <c r="FF7" s="113"/>
      <c r="FG7" s="113"/>
      <c r="FH7" s="113"/>
      <c r="FI7" s="113"/>
      <c r="FJ7" s="113"/>
      <c r="FK7" s="113"/>
      <c r="FL7" s="113"/>
      <c r="FM7" s="113"/>
      <c r="FN7" s="113"/>
      <c r="FO7" s="113"/>
      <c r="FP7" s="113"/>
      <c r="FQ7" s="113"/>
      <c r="FR7" s="113"/>
      <c r="FS7" s="113"/>
      <c r="FT7" s="113"/>
      <c r="FU7" s="113"/>
      <c r="FV7" s="113"/>
      <c r="FW7" s="113"/>
      <c r="FX7" s="113"/>
      <c r="FY7" s="113"/>
      <c r="FZ7" s="113"/>
      <c r="GA7" s="113"/>
      <c r="GB7" s="113"/>
      <c r="GC7" s="113"/>
      <c r="GD7" s="113"/>
      <c r="GE7" s="113"/>
      <c r="GF7" s="113"/>
      <c r="GG7" s="113"/>
      <c r="GH7" s="113"/>
      <c r="GI7" s="113"/>
      <c r="GJ7" s="113"/>
      <c r="GK7" s="113"/>
      <c r="GL7" s="113"/>
      <c r="GM7" s="113"/>
      <c r="GN7" s="113"/>
      <c r="GO7" s="113"/>
      <c r="GP7" s="113"/>
      <c r="GQ7" s="113"/>
      <c r="GR7" s="113"/>
      <c r="GS7" s="113"/>
      <c r="GT7" s="113"/>
      <c r="GU7" s="113"/>
      <c r="GV7" s="113"/>
      <c r="GW7" s="113"/>
      <c r="GX7" s="113"/>
      <c r="GY7" s="113"/>
      <c r="GZ7" s="113"/>
      <c r="HA7" s="113"/>
      <c r="HB7" s="113"/>
      <c r="HC7" s="113"/>
      <c r="HD7" s="113"/>
      <c r="HE7" s="113"/>
      <c r="HF7" s="113"/>
      <c r="HG7" s="113"/>
      <c r="HH7" s="113"/>
      <c r="HI7" s="113"/>
      <c r="HJ7" s="113"/>
      <c r="HK7" s="113"/>
      <c r="HL7" s="113"/>
      <c r="HM7" s="113"/>
      <c r="HN7" s="113"/>
      <c r="HO7" s="113"/>
      <c r="HP7" s="113"/>
      <c r="HQ7" s="113"/>
      <c r="HR7" s="113"/>
      <c r="HS7" s="113"/>
      <c r="HT7" s="113"/>
      <c r="HU7" s="113"/>
      <c r="HV7" s="113"/>
      <c r="HW7" s="113"/>
      <c r="HX7" s="113"/>
      <c r="HY7" s="113"/>
      <c r="HZ7" s="113"/>
      <c r="IA7" s="113"/>
      <c r="IB7" s="113"/>
      <c r="IC7" s="113"/>
      <c r="ID7" s="113"/>
      <c r="IE7" s="113"/>
      <c r="IF7" s="113"/>
      <c r="IG7" s="113"/>
      <c r="IH7" s="113"/>
      <c r="II7" s="113"/>
      <c r="IJ7" s="113"/>
      <c r="IK7" s="113"/>
      <c r="IL7" s="113"/>
      <c r="IM7" s="113"/>
      <c r="IN7" s="113"/>
      <c r="IO7" s="113"/>
      <c r="IP7" s="113"/>
      <c r="IQ7" s="113"/>
      <c r="IR7" s="113"/>
      <c r="IS7" s="113"/>
      <c r="IT7" s="113"/>
      <c r="IU7" s="113"/>
      <c r="IV7" s="113"/>
      <c r="IW7" s="113"/>
      <c r="IX7" s="113"/>
      <c r="IY7" s="113"/>
      <c r="IZ7" s="113"/>
      <c r="JA7" s="113"/>
      <c r="JB7" s="113"/>
      <c r="JC7" s="113"/>
      <c r="JD7" s="113"/>
      <c r="JE7" s="113"/>
      <c r="JF7" s="113"/>
      <c r="JG7" s="113"/>
      <c r="JH7" s="113"/>
      <c r="JI7" s="113"/>
      <c r="JJ7" s="113"/>
      <c r="JK7" s="109"/>
    </row>
    <row r="8" spans="2:271" ht="16" customHeight="1" thickBot="1" x14ac:dyDescent="0.25">
      <c r="B8" s="107"/>
      <c r="C8" s="300"/>
      <c r="D8" s="300"/>
      <c r="E8" s="300"/>
      <c r="F8" s="300"/>
      <c r="G8" s="300"/>
      <c r="H8" s="300"/>
      <c r="I8" s="182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4"/>
      <c r="AW8" s="114"/>
      <c r="AX8" s="114"/>
      <c r="AY8" s="114"/>
      <c r="AZ8" s="114"/>
      <c r="BA8" s="114"/>
      <c r="BB8" s="114"/>
      <c r="BC8" s="114"/>
      <c r="BD8" s="114"/>
      <c r="BE8" s="114"/>
      <c r="BF8" s="114"/>
      <c r="BG8" s="114"/>
      <c r="BH8" s="114"/>
      <c r="BI8" s="114"/>
      <c r="BJ8" s="114"/>
      <c r="BK8" s="114"/>
      <c r="BL8" s="114"/>
      <c r="BM8" s="114"/>
      <c r="BN8" s="114"/>
      <c r="BO8" s="114"/>
      <c r="BP8" s="114"/>
      <c r="BQ8" s="114"/>
      <c r="BR8" s="114"/>
      <c r="BS8" s="114"/>
      <c r="BT8" s="114"/>
      <c r="BU8" s="114"/>
      <c r="BV8" s="114"/>
      <c r="BW8" s="114"/>
      <c r="BX8" s="114"/>
      <c r="BY8" s="114"/>
      <c r="BZ8" s="114"/>
      <c r="CA8" s="114"/>
      <c r="CB8" s="114"/>
      <c r="CC8" s="114"/>
      <c r="CD8" s="114"/>
      <c r="CE8" s="114"/>
      <c r="CF8" s="114"/>
      <c r="CG8" s="114"/>
      <c r="CH8" s="114"/>
      <c r="CI8" s="114"/>
      <c r="CJ8" s="114"/>
      <c r="CK8" s="114"/>
      <c r="CL8" s="114"/>
      <c r="CM8" s="114"/>
      <c r="CN8" s="114"/>
      <c r="CO8" s="114"/>
      <c r="CP8" s="114"/>
      <c r="CQ8" s="114"/>
      <c r="CR8" s="114"/>
      <c r="CS8" s="114"/>
      <c r="CT8" s="114"/>
      <c r="CU8" s="114"/>
      <c r="CV8" s="114"/>
      <c r="CW8" s="114"/>
      <c r="CX8" s="114"/>
      <c r="CY8" s="114"/>
      <c r="CZ8" s="114"/>
      <c r="DA8" s="114"/>
      <c r="DB8" s="114"/>
      <c r="DC8" s="114"/>
      <c r="DD8" s="114"/>
      <c r="DE8" s="114"/>
      <c r="DF8" s="114"/>
      <c r="DG8" s="114"/>
      <c r="DH8" s="114"/>
      <c r="DI8" s="114"/>
      <c r="DJ8" s="114"/>
      <c r="DK8" s="114"/>
      <c r="DL8" s="114"/>
      <c r="DM8" s="114"/>
      <c r="DN8" s="114"/>
      <c r="DO8" s="114"/>
      <c r="DP8" s="114"/>
      <c r="DQ8" s="114"/>
      <c r="DR8" s="114"/>
      <c r="DS8" s="114"/>
      <c r="DT8" s="114"/>
      <c r="DU8" s="114"/>
      <c r="DV8" s="114"/>
      <c r="DW8" s="114"/>
      <c r="DX8" s="114"/>
      <c r="DY8" s="114"/>
      <c r="DZ8" s="114"/>
      <c r="EA8" s="114"/>
      <c r="EB8" s="114"/>
      <c r="EC8" s="114"/>
      <c r="ED8" s="114"/>
      <c r="EE8" s="114"/>
      <c r="EF8" s="114"/>
      <c r="EG8" s="114"/>
      <c r="EH8" s="114"/>
      <c r="EI8" s="114"/>
      <c r="EJ8" s="114"/>
      <c r="EK8" s="114"/>
      <c r="EL8" s="114"/>
      <c r="EM8" s="114"/>
      <c r="EN8" s="114"/>
      <c r="EO8" s="114"/>
      <c r="EP8" s="114"/>
      <c r="EQ8" s="114"/>
      <c r="ER8" s="114"/>
      <c r="ES8" s="114"/>
      <c r="ET8" s="114"/>
      <c r="EU8" s="114"/>
      <c r="EV8" s="114"/>
      <c r="EW8" s="114"/>
      <c r="EX8" s="114"/>
      <c r="EY8" s="114"/>
      <c r="EZ8" s="114"/>
      <c r="FA8" s="114"/>
      <c r="FB8" s="114"/>
      <c r="FC8" s="114"/>
      <c r="FD8" s="114"/>
      <c r="FE8" s="114"/>
      <c r="FF8" s="114"/>
      <c r="FG8" s="114"/>
      <c r="FH8" s="114"/>
      <c r="FI8" s="114"/>
      <c r="FJ8" s="114"/>
      <c r="FK8" s="114"/>
      <c r="FL8" s="114"/>
      <c r="FM8" s="114"/>
      <c r="FN8" s="114"/>
      <c r="FO8" s="114"/>
      <c r="FP8" s="114"/>
      <c r="FQ8" s="114"/>
      <c r="FR8" s="114"/>
      <c r="FS8" s="114"/>
      <c r="FT8" s="114"/>
      <c r="FU8" s="114"/>
      <c r="FV8" s="114"/>
      <c r="FW8" s="114"/>
      <c r="FX8" s="114"/>
      <c r="FY8" s="114"/>
      <c r="FZ8" s="114"/>
      <c r="GA8" s="114"/>
      <c r="GB8" s="114"/>
      <c r="GC8" s="114"/>
      <c r="GD8" s="114"/>
      <c r="GE8" s="114"/>
      <c r="GF8" s="114"/>
      <c r="GG8" s="114"/>
      <c r="GH8" s="114"/>
      <c r="GI8" s="114"/>
      <c r="GJ8" s="114"/>
      <c r="GK8" s="114"/>
      <c r="GL8" s="114"/>
      <c r="GM8" s="114"/>
      <c r="GN8" s="114"/>
      <c r="GO8" s="114"/>
      <c r="GP8" s="114"/>
      <c r="GQ8" s="114"/>
      <c r="GR8" s="114"/>
      <c r="GS8" s="114"/>
      <c r="GT8" s="114"/>
      <c r="GU8" s="114"/>
      <c r="GV8" s="114"/>
      <c r="GW8" s="114"/>
      <c r="GX8" s="114"/>
      <c r="GY8" s="114"/>
      <c r="GZ8" s="114"/>
      <c r="HA8" s="114"/>
      <c r="HB8" s="114"/>
      <c r="HC8" s="114"/>
      <c r="HD8" s="114"/>
      <c r="HE8" s="114"/>
      <c r="HF8" s="114"/>
      <c r="HG8" s="114"/>
      <c r="HH8" s="114"/>
      <c r="HI8" s="114"/>
      <c r="HJ8" s="114"/>
      <c r="HK8" s="114"/>
      <c r="HL8" s="114"/>
      <c r="HM8" s="114"/>
      <c r="HN8" s="114"/>
      <c r="HO8" s="114"/>
      <c r="HP8" s="114"/>
      <c r="HQ8" s="114"/>
      <c r="HR8" s="114"/>
      <c r="HS8" s="114"/>
      <c r="HT8" s="114"/>
      <c r="HU8" s="114"/>
      <c r="HV8" s="114"/>
      <c r="HW8" s="114"/>
      <c r="HX8" s="114"/>
      <c r="HY8" s="114"/>
      <c r="HZ8" s="114"/>
      <c r="IA8" s="114"/>
      <c r="IB8" s="114"/>
      <c r="IC8" s="114"/>
      <c r="ID8" s="114"/>
      <c r="IE8" s="114"/>
      <c r="IF8" s="114"/>
      <c r="IG8" s="114"/>
      <c r="IH8" s="114"/>
      <c r="II8" s="114"/>
      <c r="IJ8" s="114"/>
      <c r="IK8" s="114"/>
      <c r="IL8" s="114"/>
      <c r="IM8" s="114"/>
      <c r="IN8" s="114"/>
      <c r="IO8" s="114"/>
      <c r="IP8" s="114"/>
      <c r="IQ8" s="114"/>
      <c r="IR8" s="114"/>
      <c r="IS8" s="114"/>
      <c r="IT8" s="114"/>
      <c r="IU8" s="114"/>
      <c r="IV8" s="114"/>
      <c r="IW8" s="114"/>
      <c r="IX8" s="114"/>
      <c r="IY8" s="114"/>
      <c r="IZ8" s="114"/>
      <c r="JA8" s="114"/>
      <c r="JB8" s="114"/>
      <c r="JC8" s="114"/>
      <c r="JD8" s="114"/>
      <c r="JE8" s="114"/>
      <c r="JF8" s="114"/>
      <c r="JG8" s="114"/>
      <c r="JH8" s="114"/>
      <c r="JI8" s="114"/>
      <c r="JJ8" s="114"/>
      <c r="JK8" s="109"/>
    </row>
    <row r="9" spans="2:271" ht="18" customHeight="1" thickTop="1" thickBot="1" x14ac:dyDescent="0.25">
      <c r="B9" s="107"/>
      <c r="C9" s="7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1"/>
      <c r="JK9" s="109"/>
    </row>
    <row r="10" spans="2:271" ht="16" customHeight="1" thickBot="1" x14ac:dyDescent="0.25">
      <c r="B10" s="107"/>
      <c r="C10" s="194" t="s">
        <v>32</v>
      </c>
      <c r="D10" s="195"/>
      <c r="E10" s="194" t="s">
        <v>44</v>
      </c>
      <c r="F10" s="195"/>
      <c r="G10" s="194" t="s">
        <v>45</v>
      </c>
      <c r="H10" s="307"/>
      <c r="I10" s="12"/>
      <c r="J10" s="124" t="str">
        <f t="shared" ref="J10:BU10" ca="1" si="0">TEXT(J11,"DDD")</f>
        <v>Wed</v>
      </c>
      <c r="K10" s="124" t="str">
        <f t="shared" ca="1" si="0"/>
        <v>Thu</v>
      </c>
      <c r="L10" s="124" t="str">
        <f t="shared" ca="1" si="0"/>
        <v>Fri</v>
      </c>
      <c r="M10" s="124" t="str">
        <f t="shared" ca="1" si="0"/>
        <v>Mon</v>
      </c>
      <c r="N10" s="124" t="str">
        <f t="shared" ca="1" si="0"/>
        <v>Tue</v>
      </c>
      <c r="O10" s="124" t="str">
        <f t="shared" ca="1" si="0"/>
        <v>Wed</v>
      </c>
      <c r="P10" s="124" t="str">
        <f t="shared" ca="1" si="0"/>
        <v>Thu</v>
      </c>
      <c r="Q10" s="124" t="str">
        <f t="shared" ca="1" si="0"/>
        <v>Fri</v>
      </c>
      <c r="R10" s="124" t="str">
        <f t="shared" ca="1" si="0"/>
        <v>Mon</v>
      </c>
      <c r="S10" s="124" t="str">
        <f t="shared" ca="1" si="0"/>
        <v>Tue</v>
      </c>
      <c r="T10" s="124" t="str">
        <f t="shared" ca="1" si="0"/>
        <v>Wed</v>
      </c>
      <c r="U10" s="124" t="str">
        <f t="shared" ca="1" si="0"/>
        <v>Thu</v>
      </c>
      <c r="V10" s="124" t="str">
        <f t="shared" ca="1" si="0"/>
        <v>Fri</v>
      </c>
      <c r="W10" s="124" t="str">
        <f t="shared" ca="1" si="0"/>
        <v>Mon</v>
      </c>
      <c r="X10" s="124" t="str">
        <f t="shared" ca="1" si="0"/>
        <v>Tue</v>
      </c>
      <c r="Y10" s="124" t="str">
        <f t="shared" ca="1" si="0"/>
        <v>Wed</v>
      </c>
      <c r="Z10" s="124" t="str">
        <f t="shared" ca="1" si="0"/>
        <v>Thu</v>
      </c>
      <c r="AA10" s="124" t="str">
        <f t="shared" ca="1" si="0"/>
        <v>Fri</v>
      </c>
      <c r="AB10" s="124" t="str">
        <f t="shared" ca="1" si="0"/>
        <v>Mon</v>
      </c>
      <c r="AC10" s="124" t="str">
        <f t="shared" ca="1" si="0"/>
        <v>Tue</v>
      </c>
      <c r="AD10" s="124" t="str">
        <f t="shared" ca="1" si="0"/>
        <v>Wed</v>
      </c>
      <c r="AE10" s="124" t="str">
        <f t="shared" ca="1" si="0"/>
        <v>Thu</v>
      </c>
      <c r="AF10" s="124" t="str">
        <f t="shared" ca="1" si="0"/>
        <v>Fri</v>
      </c>
      <c r="AG10" s="124" t="str">
        <f t="shared" ca="1" si="0"/>
        <v>Mon</v>
      </c>
      <c r="AH10" s="124" t="str">
        <f t="shared" ca="1" si="0"/>
        <v>Tue</v>
      </c>
      <c r="AI10" s="124" t="str">
        <f t="shared" ca="1" si="0"/>
        <v>Wed</v>
      </c>
      <c r="AJ10" s="124" t="str">
        <f t="shared" ca="1" si="0"/>
        <v>Thu</v>
      </c>
      <c r="AK10" s="124" t="str">
        <f t="shared" ca="1" si="0"/>
        <v>Fri</v>
      </c>
      <c r="AL10" s="124" t="str">
        <f t="shared" ca="1" si="0"/>
        <v>Mon</v>
      </c>
      <c r="AM10" s="124" t="str">
        <f t="shared" ca="1" si="0"/>
        <v>Tue</v>
      </c>
      <c r="AN10" s="124" t="str">
        <f t="shared" ca="1" si="0"/>
        <v>Wed</v>
      </c>
      <c r="AO10" s="124" t="str">
        <f t="shared" ca="1" si="0"/>
        <v>Thu</v>
      </c>
      <c r="AP10" s="124" t="str">
        <f t="shared" ca="1" si="0"/>
        <v>Fri</v>
      </c>
      <c r="AQ10" s="124" t="str">
        <f t="shared" ca="1" si="0"/>
        <v>Mon</v>
      </c>
      <c r="AR10" s="124" t="str">
        <f t="shared" ca="1" si="0"/>
        <v>Tue</v>
      </c>
      <c r="AS10" s="124" t="str">
        <f t="shared" ca="1" si="0"/>
        <v>Wed</v>
      </c>
      <c r="AT10" s="124" t="str">
        <f t="shared" ca="1" si="0"/>
        <v>Thu</v>
      </c>
      <c r="AU10" s="124" t="str">
        <f t="shared" ca="1" si="0"/>
        <v>Fri</v>
      </c>
      <c r="AV10" s="124" t="str">
        <f t="shared" ca="1" si="0"/>
        <v>Mon</v>
      </c>
      <c r="AW10" s="124" t="str">
        <f t="shared" ca="1" si="0"/>
        <v>Tue</v>
      </c>
      <c r="AX10" s="124" t="str">
        <f t="shared" ca="1" si="0"/>
        <v>Wed</v>
      </c>
      <c r="AY10" s="124" t="str">
        <f t="shared" ca="1" si="0"/>
        <v>Thu</v>
      </c>
      <c r="AZ10" s="124" t="str">
        <f t="shared" ca="1" si="0"/>
        <v>Fri</v>
      </c>
      <c r="BA10" s="124" t="str">
        <f t="shared" ca="1" si="0"/>
        <v>Mon</v>
      </c>
      <c r="BB10" s="124" t="str">
        <f t="shared" ca="1" si="0"/>
        <v>Tue</v>
      </c>
      <c r="BC10" s="124" t="str">
        <f t="shared" ca="1" si="0"/>
        <v>Wed</v>
      </c>
      <c r="BD10" s="124" t="str">
        <f t="shared" ca="1" si="0"/>
        <v>Thu</v>
      </c>
      <c r="BE10" s="124" t="str">
        <f t="shared" ca="1" si="0"/>
        <v>Fri</v>
      </c>
      <c r="BF10" s="124" t="str">
        <f t="shared" ca="1" si="0"/>
        <v>Mon</v>
      </c>
      <c r="BG10" s="124" t="str">
        <f t="shared" ca="1" si="0"/>
        <v>Tue</v>
      </c>
      <c r="BH10" s="124" t="str">
        <f t="shared" ca="1" si="0"/>
        <v>Wed</v>
      </c>
      <c r="BI10" s="124" t="str">
        <f t="shared" ca="1" si="0"/>
        <v>Thu</v>
      </c>
      <c r="BJ10" s="124" t="str">
        <f t="shared" ca="1" si="0"/>
        <v>Fri</v>
      </c>
      <c r="BK10" s="124" t="str">
        <f t="shared" ca="1" si="0"/>
        <v>Mon</v>
      </c>
      <c r="BL10" s="124" t="str">
        <f t="shared" ca="1" si="0"/>
        <v>Tue</v>
      </c>
      <c r="BM10" s="124" t="str">
        <f t="shared" ca="1" si="0"/>
        <v>Wed</v>
      </c>
      <c r="BN10" s="124" t="str">
        <f t="shared" ca="1" si="0"/>
        <v>Thu</v>
      </c>
      <c r="BO10" s="124" t="str">
        <f t="shared" ca="1" si="0"/>
        <v>Fri</v>
      </c>
      <c r="BP10" s="124" t="str">
        <f t="shared" ca="1" si="0"/>
        <v>Mon</v>
      </c>
      <c r="BQ10" s="124" t="str">
        <f t="shared" ca="1" si="0"/>
        <v>Tue</v>
      </c>
      <c r="BR10" s="124" t="str">
        <f t="shared" ca="1" si="0"/>
        <v>Wed</v>
      </c>
      <c r="BS10" s="124" t="str">
        <f t="shared" ca="1" si="0"/>
        <v>Thu</v>
      </c>
      <c r="BT10" s="124" t="str">
        <f t="shared" ca="1" si="0"/>
        <v>Fri</v>
      </c>
      <c r="BU10" s="124" t="str">
        <f t="shared" ca="1" si="0"/>
        <v>Mon</v>
      </c>
      <c r="BV10" s="124" t="str">
        <f t="shared" ref="BV10:EG10" ca="1" si="1">TEXT(BV11,"DDD")</f>
        <v>Tue</v>
      </c>
      <c r="BW10" s="124" t="str">
        <f t="shared" ca="1" si="1"/>
        <v>Wed</v>
      </c>
      <c r="BX10" s="124" t="str">
        <f t="shared" ca="1" si="1"/>
        <v>Thu</v>
      </c>
      <c r="BY10" s="124" t="str">
        <f t="shared" ca="1" si="1"/>
        <v>Fri</v>
      </c>
      <c r="BZ10" s="124" t="str">
        <f t="shared" ca="1" si="1"/>
        <v>Mon</v>
      </c>
      <c r="CA10" s="124" t="str">
        <f t="shared" ca="1" si="1"/>
        <v>Tue</v>
      </c>
      <c r="CB10" s="124" t="str">
        <f t="shared" ca="1" si="1"/>
        <v>Wed</v>
      </c>
      <c r="CC10" s="124" t="str">
        <f t="shared" ca="1" si="1"/>
        <v>Thu</v>
      </c>
      <c r="CD10" s="124" t="str">
        <f t="shared" ca="1" si="1"/>
        <v>Fri</v>
      </c>
      <c r="CE10" s="124" t="str">
        <f t="shared" ca="1" si="1"/>
        <v>Mon</v>
      </c>
      <c r="CF10" s="124" t="str">
        <f t="shared" ca="1" si="1"/>
        <v>Tue</v>
      </c>
      <c r="CG10" s="124" t="str">
        <f t="shared" ca="1" si="1"/>
        <v>Wed</v>
      </c>
      <c r="CH10" s="124" t="str">
        <f t="shared" ca="1" si="1"/>
        <v>Thu</v>
      </c>
      <c r="CI10" s="124" t="str">
        <f t="shared" ca="1" si="1"/>
        <v>Fri</v>
      </c>
      <c r="CJ10" s="124" t="str">
        <f t="shared" ca="1" si="1"/>
        <v>Mon</v>
      </c>
      <c r="CK10" s="124" t="str">
        <f t="shared" ca="1" si="1"/>
        <v>Tue</v>
      </c>
      <c r="CL10" s="124" t="str">
        <f t="shared" ca="1" si="1"/>
        <v>Wed</v>
      </c>
      <c r="CM10" s="124" t="str">
        <f t="shared" ca="1" si="1"/>
        <v>Thu</v>
      </c>
      <c r="CN10" s="124" t="str">
        <f t="shared" ca="1" si="1"/>
        <v>Fri</v>
      </c>
      <c r="CO10" s="124" t="str">
        <f t="shared" ca="1" si="1"/>
        <v>Mon</v>
      </c>
      <c r="CP10" s="124" t="str">
        <f t="shared" ca="1" si="1"/>
        <v>Tue</v>
      </c>
      <c r="CQ10" s="124" t="str">
        <f t="shared" ca="1" si="1"/>
        <v>Wed</v>
      </c>
      <c r="CR10" s="124" t="str">
        <f t="shared" ca="1" si="1"/>
        <v>Thu</v>
      </c>
      <c r="CS10" s="124" t="str">
        <f t="shared" ca="1" si="1"/>
        <v>Fri</v>
      </c>
      <c r="CT10" s="124" t="str">
        <f t="shared" ca="1" si="1"/>
        <v>Mon</v>
      </c>
      <c r="CU10" s="124" t="str">
        <f t="shared" ca="1" si="1"/>
        <v>Tue</v>
      </c>
      <c r="CV10" s="124" t="str">
        <f t="shared" ca="1" si="1"/>
        <v>Wed</v>
      </c>
      <c r="CW10" s="124" t="str">
        <f t="shared" ca="1" si="1"/>
        <v>Thu</v>
      </c>
      <c r="CX10" s="124" t="str">
        <f t="shared" ca="1" si="1"/>
        <v>Fri</v>
      </c>
      <c r="CY10" s="124" t="str">
        <f t="shared" ca="1" si="1"/>
        <v>Mon</v>
      </c>
      <c r="CZ10" s="124" t="str">
        <f t="shared" ca="1" si="1"/>
        <v>Tue</v>
      </c>
      <c r="DA10" s="124" t="str">
        <f t="shared" ca="1" si="1"/>
        <v>Wed</v>
      </c>
      <c r="DB10" s="124" t="str">
        <f t="shared" ca="1" si="1"/>
        <v>Thu</v>
      </c>
      <c r="DC10" s="124" t="str">
        <f t="shared" ca="1" si="1"/>
        <v>Fri</v>
      </c>
      <c r="DD10" s="124" t="str">
        <f t="shared" ca="1" si="1"/>
        <v>Mon</v>
      </c>
      <c r="DE10" s="124" t="str">
        <f t="shared" ca="1" si="1"/>
        <v>Tue</v>
      </c>
      <c r="DF10" s="124" t="str">
        <f t="shared" ca="1" si="1"/>
        <v>Wed</v>
      </c>
      <c r="DG10" s="124" t="str">
        <f t="shared" ca="1" si="1"/>
        <v>Thu</v>
      </c>
      <c r="DH10" s="124" t="str">
        <f t="shared" ca="1" si="1"/>
        <v>Fri</v>
      </c>
      <c r="DI10" s="124" t="str">
        <f t="shared" ca="1" si="1"/>
        <v>Mon</v>
      </c>
      <c r="DJ10" s="124" t="str">
        <f t="shared" ca="1" si="1"/>
        <v>Tue</v>
      </c>
      <c r="DK10" s="124" t="str">
        <f t="shared" ca="1" si="1"/>
        <v>Wed</v>
      </c>
      <c r="DL10" s="124" t="str">
        <f t="shared" ca="1" si="1"/>
        <v>Thu</v>
      </c>
      <c r="DM10" s="124" t="str">
        <f t="shared" ca="1" si="1"/>
        <v>Fri</v>
      </c>
      <c r="DN10" s="124" t="str">
        <f t="shared" ca="1" si="1"/>
        <v>Mon</v>
      </c>
      <c r="DO10" s="124" t="str">
        <f t="shared" ca="1" si="1"/>
        <v>Tue</v>
      </c>
      <c r="DP10" s="124" t="str">
        <f t="shared" ca="1" si="1"/>
        <v>Wed</v>
      </c>
      <c r="DQ10" s="124" t="str">
        <f t="shared" ca="1" si="1"/>
        <v>Thu</v>
      </c>
      <c r="DR10" s="124" t="str">
        <f t="shared" ca="1" si="1"/>
        <v>Fri</v>
      </c>
      <c r="DS10" s="124" t="str">
        <f t="shared" ca="1" si="1"/>
        <v>Mon</v>
      </c>
      <c r="DT10" s="124" t="str">
        <f t="shared" ca="1" si="1"/>
        <v>Tue</v>
      </c>
      <c r="DU10" s="124" t="str">
        <f t="shared" ca="1" si="1"/>
        <v>Wed</v>
      </c>
      <c r="DV10" s="124" t="str">
        <f t="shared" ca="1" si="1"/>
        <v>Thu</v>
      </c>
      <c r="DW10" s="124" t="str">
        <f t="shared" ca="1" si="1"/>
        <v>Fri</v>
      </c>
      <c r="DX10" s="124" t="str">
        <f t="shared" ca="1" si="1"/>
        <v>Mon</v>
      </c>
      <c r="DY10" s="124" t="str">
        <f t="shared" ca="1" si="1"/>
        <v>Tue</v>
      </c>
      <c r="DZ10" s="124" t="str">
        <f t="shared" ca="1" si="1"/>
        <v>Wed</v>
      </c>
      <c r="EA10" s="124" t="str">
        <f t="shared" ca="1" si="1"/>
        <v>Thu</v>
      </c>
      <c r="EB10" s="124" t="str">
        <f t="shared" ca="1" si="1"/>
        <v>Fri</v>
      </c>
      <c r="EC10" s="124" t="str">
        <f t="shared" ca="1" si="1"/>
        <v>Mon</v>
      </c>
      <c r="ED10" s="124" t="str">
        <f t="shared" ca="1" si="1"/>
        <v>Tue</v>
      </c>
      <c r="EE10" s="124" t="str">
        <f t="shared" ca="1" si="1"/>
        <v>Wed</v>
      </c>
      <c r="EF10" s="124" t="str">
        <f t="shared" ca="1" si="1"/>
        <v>Thu</v>
      </c>
      <c r="EG10" s="124" t="str">
        <f t="shared" ca="1" si="1"/>
        <v>Fri</v>
      </c>
      <c r="EH10" s="124" t="str">
        <f t="shared" ref="EH10:GS10" ca="1" si="2">TEXT(EH11,"DDD")</f>
        <v>Mon</v>
      </c>
      <c r="EI10" s="124" t="str">
        <f t="shared" ca="1" si="2"/>
        <v>Tue</v>
      </c>
      <c r="EJ10" s="124" t="str">
        <f t="shared" ca="1" si="2"/>
        <v>Wed</v>
      </c>
      <c r="EK10" s="124" t="str">
        <f t="shared" ca="1" si="2"/>
        <v>Thu</v>
      </c>
      <c r="EL10" s="124" t="str">
        <f t="shared" ca="1" si="2"/>
        <v>Fri</v>
      </c>
      <c r="EM10" s="124" t="str">
        <f t="shared" ca="1" si="2"/>
        <v>Mon</v>
      </c>
      <c r="EN10" s="124" t="str">
        <f t="shared" ca="1" si="2"/>
        <v>Tue</v>
      </c>
      <c r="EO10" s="124" t="str">
        <f t="shared" ca="1" si="2"/>
        <v>Wed</v>
      </c>
      <c r="EP10" s="124" t="str">
        <f t="shared" ca="1" si="2"/>
        <v>Thu</v>
      </c>
      <c r="EQ10" s="124" t="str">
        <f t="shared" ca="1" si="2"/>
        <v>Fri</v>
      </c>
      <c r="ER10" s="124" t="str">
        <f t="shared" ca="1" si="2"/>
        <v>Mon</v>
      </c>
      <c r="ES10" s="124" t="str">
        <f t="shared" ca="1" si="2"/>
        <v>Tue</v>
      </c>
      <c r="ET10" s="124" t="str">
        <f t="shared" ca="1" si="2"/>
        <v>Wed</v>
      </c>
      <c r="EU10" s="124" t="str">
        <f t="shared" ca="1" si="2"/>
        <v>Thu</v>
      </c>
      <c r="EV10" s="124" t="str">
        <f t="shared" ca="1" si="2"/>
        <v>Fri</v>
      </c>
      <c r="EW10" s="124" t="str">
        <f t="shared" ca="1" si="2"/>
        <v>Mon</v>
      </c>
      <c r="EX10" s="124" t="str">
        <f t="shared" ca="1" si="2"/>
        <v>Tue</v>
      </c>
      <c r="EY10" s="124" t="str">
        <f t="shared" ca="1" si="2"/>
        <v>Wed</v>
      </c>
      <c r="EZ10" s="124" t="str">
        <f t="shared" ca="1" si="2"/>
        <v>Thu</v>
      </c>
      <c r="FA10" s="124" t="str">
        <f t="shared" ca="1" si="2"/>
        <v>Fri</v>
      </c>
      <c r="FB10" s="124" t="str">
        <f t="shared" ca="1" si="2"/>
        <v>Mon</v>
      </c>
      <c r="FC10" s="124" t="str">
        <f t="shared" ca="1" si="2"/>
        <v>Tue</v>
      </c>
      <c r="FD10" s="124" t="str">
        <f t="shared" ca="1" si="2"/>
        <v>Wed</v>
      </c>
      <c r="FE10" s="124" t="str">
        <f t="shared" ca="1" si="2"/>
        <v>Thu</v>
      </c>
      <c r="FF10" s="124" t="str">
        <f t="shared" ca="1" si="2"/>
        <v>Fri</v>
      </c>
      <c r="FG10" s="124" t="str">
        <f t="shared" ca="1" si="2"/>
        <v>Mon</v>
      </c>
      <c r="FH10" s="124" t="str">
        <f t="shared" ca="1" si="2"/>
        <v>Tue</v>
      </c>
      <c r="FI10" s="124" t="str">
        <f t="shared" ca="1" si="2"/>
        <v>Wed</v>
      </c>
      <c r="FJ10" s="124" t="str">
        <f t="shared" ca="1" si="2"/>
        <v>Thu</v>
      </c>
      <c r="FK10" s="124" t="str">
        <f t="shared" ca="1" si="2"/>
        <v>Fri</v>
      </c>
      <c r="FL10" s="124" t="str">
        <f t="shared" ca="1" si="2"/>
        <v>Mon</v>
      </c>
      <c r="FM10" s="124" t="str">
        <f t="shared" ca="1" si="2"/>
        <v>Tue</v>
      </c>
      <c r="FN10" s="124" t="str">
        <f t="shared" ca="1" si="2"/>
        <v>Wed</v>
      </c>
      <c r="FO10" s="124" t="str">
        <f t="shared" ca="1" si="2"/>
        <v>Thu</v>
      </c>
      <c r="FP10" s="124" t="str">
        <f t="shared" ca="1" si="2"/>
        <v>Fri</v>
      </c>
      <c r="FQ10" s="124" t="str">
        <f t="shared" ca="1" si="2"/>
        <v>Mon</v>
      </c>
      <c r="FR10" s="124" t="str">
        <f t="shared" ca="1" si="2"/>
        <v>Tue</v>
      </c>
      <c r="FS10" s="124" t="str">
        <f t="shared" ca="1" si="2"/>
        <v>Wed</v>
      </c>
      <c r="FT10" s="124" t="str">
        <f t="shared" ca="1" si="2"/>
        <v>Thu</v>
      </c>
      <c r="FU10" s="124" t="str">
        <f t="shared" ca="1" si="2"/>
        <v>Fri</v>
      </c>
      <c r="FV10" s="124" t="str">
        <f t="shared" ca="1" si="2"/>
        <v>Mon</v>
      </c>
      <c r="FW10" s="124" t="str">
        <f t="shared" ca="1" si="2"/>
        <v>Tue</v>
      </c>
      <c r="FX10" s="124" t="str">
        <f t="shared" ca="1" si="2"/>
        <v>Wed</v>
      </c>
      <c r="FY10" s="124" t="str">
        <f t="shared" ca="1" si="2"/>
        <v>Thu</v>
      </c>
      <c r="FZ10" s="124" t="str">
        <f t="shared" ca="1" si="2"/>
        <v>Fri</v>
      </c>
      <c r="GA10" s="124" t="str">
        <f t="shared" ca="1" si="2"/>
        <v>Mon</v>
      </c>
      <c r="GB10" s="124" t="str">
        <f t="shared" ca="1" si="2"/>
        <v>Tue</v>
      </c>
      <c r="GC10" s="124" t="str">
        <f t="shared" ca="1" si="2"/>
        <v>Wed</v>
      </c>
      <c r="GD10" s="124" t="str">
        <f t="shared" ca="1" si="2"/>
        <v>Thu</v>
      </c>
      <c r="GE10" s="124" t="str">
        <f t="shared" ca="1" si="2"/>
        <v>Fri</v>
      </c>
      <c r="GF10" s="124" t="str">
        <f t="shared" ca="1" si="2"/>
        <v>Mon</v>
      </c>
      <c r="GG10" s="124" t="str">
        <f t="shared" ca="1" si="2"/>
        <v>Tue</v>
      </c>
      <c r="GH10" s="124" t="str">
        <f t="shared" ca="1" si="2"/>
        <v>Wed</v>
      </c>
      <c r="GI10" s="124" t="str">
        <f t="shared" ca="1" si="2"/>
        <v>Thu</v>
      </c>
      <c r="GJ10" s="124" t="str">
        <f t="shared" ca="1" si="2"/>
        <v>Fri</v>
      </c>
      <c r="GK10" s="124" t="str">
        <f t="shared" ca="1" si="2"/>
        <v>Mon</v>
      </c>
      <c r="GL10" s="124" t="str">
        <f t="shared" ca="1" si="2"/>
        <v>Tue</v>
      </c>
      <c r="GM10" s="124" t="str">
        <f t="shared" ca="1" si="2"/>
        <v>Wed</v>
      </c>
      <c r="GN10" s="124" t="str">
        <f t="shared" ca="1" si="2"/>
        <v>Thu</v>
      </c>
      <c r="GO10" s="124" t="str">
        <f t="shared" ca="1" si="2"/>
        <v>Fri</v>
      </c>
      <c r="GP10" s="124" t="str">
        <f t="shared" ca="1" si="2"/>
        <v>Mon</v>
      </c>
      <c r="GQ10" s="124" t="str">
        <f t="shared" ca="1" si="2"/>
        <v>Tue</v>
      </c>
      <c r="GR10" s="124" t="str">
        <f t="shared" ca="1" si="2"/>
        <v>Wed</v>
      </c>
      <c r="GS10" s="124" t="str">
        <f t="shared" ca="1" si="2"/>
        <v>Thu</v>
      </c>
      <c r="GT10" s="124" t="str">
        <f t="shared" ref="GT10:JE10" ca="1" si="3">TEXT(GT11,"DDD")</f>
        <v>Fri</v>
      </c>
      <c r="GU10" s="124" t="str">
        <f t="shared" ca="1" si="3"/>
        <v>Mon</v>
      </c>
      <c r="GV10" s="124" t="str">
        <f t="shared" ca="1" si="3"/>
        <v>Tue</v>
      </c>
      <c r="GW10" s="124" t="str">
        <f t="shared" ca="1" si="3"/>
        <v>Wed</v>
      </c>
      <c r="GX10" s="124" t="str">
        <f t="shared" ca="1" si="3"/>
        <v>Thu</v>
      </c>
      <c r="GY10" s="124" t="str">
        <f t="shared" ca="1" si="3"/>
        <v>Fri</v>
      </c>
      <c r="GZ10" s="124" t="str">
        <f t="shared" ca="1" si="3"/>
        <v>Mon</v>
      </c>
      <c r="HA10" s="124" t="str">
        <f t="shared" ca="1" si="3"/>
        <v>Tue</v>
      </c>
      <c r="HB10" s="124" t="str">
        <f t="shared" ca="1" si="3"/>
        <v>Wed</v>
      </c>
      <c r="HC10" s="124" t="str">
        <f t="shared" ca="1" si="3"/>
        <v>Thu</v>
      </c>
      <c r="HD10" s="124" t="str">
        <f t="shared" ca="1" si="3"/>
        <v>Fri</v>
      </c>
      <c r="HE10" s="124" t="str">
        <f t="shared" ca="1" si="3"/>
        <v>Mon</v>
      </c>
      <c r="HF10" s="124" t="str">
        <f t="shared" ca="1" si="3"/>
        <v>Tue</v>
      </c>
      <c r="HG10" s="124" t="str">
        <f t="shared" ca="1" si="3"/>
        <v>Wed</v>
      </c>
      <c r="HH10" s="124" t="str">
        <f t="shared" ca="1" si="3"/>
        <v>Thu</v>
      </c>
      <c r="HI10" s="124" t="str">
        <f t="shared" ca="1" si="3"/>
        <v>Fri</v>
      </c>
      <c r="HJ10" s="124" t="str">
        <f t="shared" ca="1" si="3"/>
        <v>Mon</v>
      </c>
      <c r="HK10" s="124" t="str">
        <f t="shared" ca="1" si="3"/>
        <v>Tue</v>
      </c>
      <c r="HL10" s="124" t="str">
        <f t="shared" ca="1" si="3"/>
        <v>Wed</v>
      </c>
      <c r="HM10" s="124" t="str">
        <f t="shared" ca="1" si="3"/>
        <v>Thu</v>
      </c>
      <c r="HN10" s="124" t="str">
        <f t="shared" ca="1" si="3"/>
        <v>Fri</v>
      </c>
      <c r="HO10" s="124" t="str">
        <f t="shared" ca="1" si="3"/>
        <v>Mon</v>
      </c>
      <c r="HP10" s="124" t="str">
        <f t="shared" ca="1" si="3"/>
        <v>Tue</v>
      </c>
      <c r="HQ10" s="124" t="str">
        <f t="shared" ca="1" si="3"/>
        <v>Wed</v>
      </c>
      <c r="HR10" s="124" t="str">
        <f t="shared" ca="1" si="3"/>
        <v>Thu</v>
      </c>
      <c r="HS10" s="124" t="str">
        <f t="shared" ca="1" si="3"/>
        <v>Fri</v>
      </c>
      <c r="HT10" s="124" t="str">
        <f t="shared" ca="1" si="3"/>
        <v>Mon</v>
      </c>
      <c r="HU10" s="124" t="str">
        <f t="shared" ca="1" si="3"/>
        <v>Tue</v>
      </c>
      <c r="HV10" s="124" t="str">
        <f t="shared" ca="1" si="3"/>
        <v>Wed</v>
      </c>
      <c r="HW10" s="124" t="str">
        <f t="shared" ca="1" si="3"/>
        <v>Thu</v>
      </c>
      <c r="HX10" s="124" t="str">
        <f t="shared" ca="1" si="3"/>
        <v>Fri</v>
      </c>
      <c r="HY10" s="124" t="str">
        <f t="shared" ca="1" si="3"/>
        <v>Mon</v>
      </c>
      <c r="HZ10" s="124" t="str">
        <f t="shared" ca="1" si="3"/>
        <v>Tue</v>
      </c>
      <c r="IA10" s="124" t="str">
        <f t="shared" ca="1" si="3"/>
        <v>Wed</v>
      </c>
      <c r="IB10" s="124" t="str">
        <f t="shared" ca="1" si="3"/>
        <v>Thu</v>
      </c>
      <c r="IC10" s="124" t="str">
        <f t="shared" ca="1" si="3"/>
        <v>Fri</v>
      </c>
      <c r="ID10" s="124" t="str">
        <f t="shared" ca="1" si="3"/>
        <v>Mon</v>
      </c>
      <c r="IE10" s="124" t="str">
        <f t="shared" ca="1" si="3"/>
        <v>Tue</v>
      </c>
      <c r="IF10" s="124" t="str">
        <f t="shared" ca="1" si="3"/>
        <v>Wed</v>
      </c>
      <c r="IG10" s="124" t="str">
        <f t="shared" ca="1" si="3"/>
        <v>Thu</v>
      </c>
      <c r="IH10" s="124" t="str">
        <f t="shared" ca="1" si="3"/>
        <v>Fri</v>
      </c>
      <c r="II10" s="124" t="str">
        <f t="shared" ca="1" si="3"/>
        <v>Mon</v>
      </c>
      <c r="IJ10" s="124" t="str">
        <f t="shared" ca="1" si="3"/>
        <v>Tue</v>
      </c>
      <c r="IK10" s="124" t="str">
        <f t="shared" ca="1" si="3"/>
        <v>Wed</v>
      </c>
      <c r="IL10" s="124" t="str">
        <f t="shared" ca="1" si="3"/>
        <v>Thu</v>
      </c>
      <c r="IM10" s="124" t="str">
        <f t="shared" ca="1" si="3"/>
        <v>Fri</v>
      </c>
      <c r="IN10" s="124" t="str">
        <f t="shared" ca="1" si="3"/>
        <v>Mon</v>
      </c>
      <c r="IO10" s="124" t="str">
        <f t="shared" ca="1" si="3"/>
        <v>Tue</v>
      </c>
      <c r="IP10" s="124" t="str">
        <f t="shared" ca="1" si="3"/>
        <v>Wed</v>
      </c>
      <c r="IQ10" s="124" t="str">
        <f t="shared" ca="1" si="3"/>
        <v>Thu</v>
      </c>
      <c r="IR10" s="124" t="str">
        <f t="shared" ca="1" si="3"/>
        <v>Fri</v>
      </c>
      <c r="IS10" s="124" t="str">
        <f t="shared" ca="1" si="3"/>
        <v>Mon</v>
      </c>
      <c r="IT10" s="124" t="str">
        <f t="shared" ca="1" si="3"/>
        <v>Tue</v>
      </c>
      <c r="IU10" s="124" t="str">
        <f t="shared" ca="1" si="3"/>
        <v>Wed</v>
      </c>
      <c r="IV10" s="124" t="str">
        <f t="shared" ca="1" si="3"/>
        <v>Thu</v>
      </c>
      <c r="IW10" s="124" t="str">
        <f t="shared" ca="1" si="3"/>
        <v>Fri</v>
      </c>
      <c r="IX10" s="124" t="str">
        <f t="shared" ca="1" si="3"/>
        <v>Mon</v>
      </c>
      <c r="IY10" s="124" t="str">
        <f t="shared" ca="1" si="3"/>
        <v>Tue</v>
      </c>
      <c r="IZ10" s="124" t="str">
        <f t="shared" ca="1" si="3"/>
        <v>Wed</v>
      </c>
      <c r="JA10" s="124" t="str">
        <f t="shared" ca="1" si="3"/>
        <v>Thu</v>
      </c>
      <c r="JB10" s="124" t="str">
        <f t="shared" ca="1" si="3"/>
        <v>Fri</v>
      </c>
      <c r="JC10" s="124" t="str">
        <f t="shared" ca="1" si="3"/>
        <v>Mon</v>
      </c>
      <c r="JD10" s="124" t="str">
        <f t="shared" ca="1" si="3"/>
        <v>Tue</v>
      </c>
      <c r="JE10" s="124" t="str">
        <f t="shared" ca="1" si="3"/>
        <v>Wed</v>
      </c>
      <c r="JF10" s="124" t="str">
        <f t="shared" ref="JF10:JJ10" ca="1" si="4">TEXT(JF11,"DDD")</f>
        <v>Thu</v>
      </c>
      <c r="JG10" s="124" t="str">
        <f t="shared" ca="1" si="4"/>
        <v>Fri</v>
      </c>
      <c r="JH10" s="124" t="str">
        <f t="shared" ca="1" si="4"/>
        <v>Mon</v>
      </c>
      <c r="JI10" s="124" t="str">
        <f t="shared" ca="1" si="4"/>
        <v>Tue</v>
      </c>
      <c r="JJ10" s="124" t="str">
        <f t="shared" ca="1" si="4"/>
        <v>Wed</v>
      </c>
      <c r="JK10" s="109"/>
    </row>
    <row r="11" spans="2:271" ht="16" customHeight="1" thickBot="1" x14ac:dyDescent="0.25">
      <c r="B11" s="107"/>
      <c r="C11" s="196"/>
      <c r="D11" s="197"/>
      <c r="E11" s="196"/>
      <c r="F11" s="197"/>
      <c r="G11" s="196"/>
      <c r="H11" s="308"/>
      <c r="I11" s="14"/>
      <c r="J11" s="184">
        <v>45658</v>
      </c>
      <c r="K11" s="184">
        <f ca="1">IF(TEXT(J11,"DDD")="Sat",J11+3,IF(TEXT(J11,"DDD")="Sun",J11+2,J11+1))</f>
        <v>45659</v>
      </c>
      <c r="L11" s="184">
        <f ca="1">IF(TEXT(K11,"DDD")="Sat",K11+3,IF(TEXT(K11,"DDD")="Sun",K11+2,K11+1))</f>
        <v>45660</v>
      </c>
      <c r="M11" s="184">
        <f t="shared" ref="M11:BX11" ca="1" si="5">IF(TEXT(L11,"DDD")="Fri",L11+3,IF(TEXT(L11,"DDD")="Sat",L11+2,L11+1))</f>
        <v>45663</v>
      </c>
      <c r="N11" s="184">
        <f t="shared" ca="1" si="5"/>
        <v>45664</v>
      </c>
      <c r="O11" s="184">
        <f t="shared" ca="1" si="5"/>
        <v>45665</v>
      </c>
      <c r="P11" s="184">
        <f t="shared" ca="1" si="5"/>
        <v>45666</v>
      </c>
      <c r="Q11" s="184">
        <f t="shared" ca="1" si="5"/>
        <v>45667</v>
      </c>
      <c r="R11" s="184">
        <f t="shared" ca="1" si="5"/>
        <v>45670</v>
      </c>
      <c r="S11" s="184">
        <f t="shared" ca="1" si="5"/>
        <v>45671</v>
      </c>
      <c r="T11" s="184">
        <f t="shared" ca="1" si="5"/>
        <v>45672</v>
      </c>
      <c r="U11" s="184">
        <f t="shared" ca="1" si="5"/>
        <v>45673</v>
      </c>
      <c r="V11" s="184">
        <f t="shared" ca="1" si="5"/>
        <v>45674</v>
      </c>
      <c r="W11" s="184">
        <f t="shared" ca="1" si="5"/>
        <v>45677</v>
      </c>
      <c r="X11" s="184">
        <f t="shared" ca="1" si="5"/>
        <v>45678</v>
      </c>
      <c r="Y11" s="184">
        <f t="shared" ca="1" si="5"/>
        <v>45679</v>
      </c>
      <c r="Z11" s="184">
        <f t="shared" ca="1" si="5"/>
        <v>45680</v>
      </c>
      <c r="AA11" s="184">
        <f t="shared" ca="1" si="5"/>
        <v>45681</v>
      </c>
      <c r="AB11" s="184">
        <f t="shared" ca="1" si="5"/>
        <v>45684</v>
      </c>
      <c r="AC11" s="184">
        <f t="shared" ca="1" si="5"/>
        <v>45685</v>
      </c>
      <c r="AD11" s="184">
        <f t="shared" ca="1" si="5"/>
        <v>45686</v>
      </c>
      <c r="AE11" s="184">
        <f t="shared" ca="1" si="5"/>
        <v>45687</v>
      </c>
      <c r="AF11" s="184">
        <f t="shared" ca="1" si="5"/>
        <v>45688</v>
      </c>
      <c r="AG11" s="184">
        <f t="shared" ca="1" si="5"/>
        <v>45691</v>
      </c>
      <c r="AH11" s="184">
        <f t="shared" ca="1" si="5"/>
        <v>45692</v>
      </c>
      <c r="AI11" s="184">
        <f t="shared" ca="1" si="5"/>
        <v>45693</v>
      </c>
      <c r="AJ11" s="184">
        <f t="shared" ca="1" si="5"/>
        <v>45694</v>
      </c>
      <c r="AK11" s="184">
        <f t="shared" ca="1" si="5"/>
        <v>45695</v>
      </c>
      <c r="AL11" s="184">
        <f t="shared" ca="1" si="5"/>
        <v>45698</v>
      </c>
      <c r="AM11" s="184">
        <f t="shared" ca="1" si="5"/>
        <v>45699</v>
      </c>
      <c r="AN11" s="184">
        <f t="shared" ca="1" si="5"/>
        <v>45700</v>
      </c>
      <c r="AO11" s="184">
        <f t="shared" ca="1" si="5"/>
        <v>45701</v>
      </c>
      <c r="AP11" s="184">
        <f t="shared" ca="1" si="5"/>
        <v>45702</v>
      </c>
      <c r="AQ11" s="184">
        <f t="shared" ca="1" si="5"/>
        <v>45705</v>
      </c>
      <c r="AR11" s="184">
        <f t="shared" ca="1" si="5"/>
        <v>45706</v>
      </c>
      <c r="AS11" s="184">
        <f t="shared" ca="1" si="5"/>
        <v>45707</v>
      </c>
      <c r="AT11" s="184">
        <f t="shared" ca="1" si="5"/>
        <v>45708</v>
      </c>
      <c r="AU11" s="184">
        <f t="shared" ca="1" si="5"/>
        <v>45709</v>
      </c>
      <c r="AV11" s="184">
        <f t="shared" ca="1" si="5"/>
        <v>45712</v>
      </c>
      <c r="AW11" s="184">
        <f t="shared" ca="1" si="5"/>
        <v>45713</v>
      </c>
      <c r="AX11" s="184">
        <f t="shared" ca="1" si="5"/>
        <v>45714</v>
      </c>
      <c r="AY11" s="184">
        <f t="shared" ca="1" si="5"/>
        <v>45715</v>
      </c>
      <c r="AZ11" s="184">
        <f t="shared" ca="1" si="5"/>
        <v>45716</v>
      </c>
      <c r="BA11" s="184">
        <f t="shared" ca="1" si="5"/>
        <v>45719</v>
      </c>
      <c r="BB11" s="184">
        <f t="shared" ca="1" si="5"/>
        <v>45720</v>
      </c>
      <c r="BC11" s="184">
        <f t="shared" ca="1" si="5"/>
        <v>45721</v>
      </c>
      <c r="BD11" s="184">
        <f t="shared" ca="1" si="5"/>
        <v>45722</v>
      </c>
      <c r="BE11" s="184">
        <f t="shared" ca="1" si="5"/>
        <v>45723</v>
      </c>
      <c r="BF11" s="184">
        <f t="shared" ca="1" si="5"/>
        <v>45726</v>
      </c>
      <c r="BG11" s="184">
        <f t="shared" ca="1" si="5"/>
        <v>45727</v>
      </c>
      <c r="BH11" s="184">
        <f t="shared" ca="1" si="5"/>
        <v>45728</v>
      </c>
      <c r="BI11" s="184">
        <f t="shared" ca="1" si="5"/>
        <v>45729</v>
      </c>
      <c r="BJ11" s="184">
        <f t="shared" ca="1" si="5"/>
        <v>45730</v>
      </c>
      <c r="BK11" s="184">
        <f t="shared" ca="1" si="5"/>
        <v>45733</v>
      </c>
      <c r="BL11" s="184">
        <f t="shared" ca="1" si="5"/>
        <v>45734</v>
      </c>
      <c r="BM11" s="184">
        <f t="shared" ca="1" si="5"/>
        <v>45735</v>
      </c>
      <c r="BN11" s="184">
        <f t="shared" ca="1" si="5"/>
        <v>45736</v>
      </c>
      <c r="BO11" s="184">
        <f t="shared" ca="1" si="5"/>
        <v>45737</v>
      </c>
      <c r="BP11" s="184">
        <f t="shared" ca="1" si="5"/>
        <v>45740</v>
      </c>
      <c r="BQ11" s="184">
        <f t="shared" ca="1" si="5"/>
        <v>45741</v>
      </c>
      <c r="BR11" s="184">
        <f t="shared" ca="1" si="5"/>
        <v>45742</v>
      </c>
      <c r="BS11" s="184">
        <f t="shared" ca="1" si="5"/>
        <v>45743</v>
      </c>
      <c r="BT11" s="184">
        <f t="shared" ca="1" si="5"/>
        <v>45744</v>
      </c>
      <c r="BU11" s="184">
        <f t="shared" ca="1" si="5"/>
        <v>45747</v>
      </c>
      <c r="BV11" s="184">
        <f t="shared" ca="1" si="5"/>
        <v>45748</v>
      </c>
      <c r="BW11" s="184">
        <f t="shared" ca="1" si="5"/>
        <v>45749</v>
      </c>
      <c r="BX11" s="184">
        <f t="shared" ca="1" si="5"/>
        <v>45750</v>
      </c>
      <c r="BY11" s="184">
        <f t="shared" ref="BY11:EJ11" ca="1" si="6">IF(TEXT(BX11,"DDD")="Fri",BX11+3,IF(TEXT(BX11,"DDD")="Sat",BX11+2,BX11+1))</f>
        <v>45751</v>
      </c>
      <c r="BZ11" s="184">
        <f t="shared" ca="1" si="6"/>
        <v>45754</v>
      </c>
      <c r="CA11" s="184">
        <f t="shared" ca="1" si="6"/>
        <v>45755</v>
      </c>
      <c r="CB11" s="184">
        <f t="shared" ca="1" si="6"/>
        <v>45756</v>
      </c>
      <c r="CC11" s="184">
        <f t="shared" ca="1" si="6"/>
        <v>45757</v>
      </c>
      <c r="CD11" s="184">
        <f t="shared" ca="1" si="6"/>
        <v>45758</v>
      </c>
      <c r="CE11" s="184">
        <f t="shared" ca="1" si="6"/>
        <v>45761</v>
      </c>
      <c r="CF11" s="184">
        <f t="shared" ca="1" si="6"/>
        <v>45762</v>
      </c>
      <c r="CG11" s="184">
        <f t="shared" ca="1" si="6"/>
        <v>45763</v>
      </c>
      <c r="CH11" s="184">
        <f t="shared" ca="1" si="6"/>
        <v>45764</v>
      </c>
      <c r="CI11" s="184">
        <f t="shared" ca="1" si="6"/>
        <v>45765</v>
      </c>
      <c r="CJ11" s="184">
        <f t="shared" ca="1" si="6"/>
        <v>45768</v>
      </c>
      <c r="CK11" s="184">
        <f t="shared" ca="1" si="6"/>
        <v>45769</v>
      </c>
      <c r="CL11" s="184">
        <f t="shared" ca="1" si="6"/>
        <v>45770</v>
      </c>
      <c r="CM11" s="184">
        <f t="shared" ca="1" si="6"/>
        <v>45771</v>
      </c>
      <c r="CN11" s="184">
        <f t="shared" ca="1" si="6"/>
        <v>45772</v>
      </c>
      <c r="CO11" s="184">
        <f t="shared" ca="1" si="6"/>
        <v>45775</v>
      </c>
      <c r="CP11" s="184">
        <f t="shared" ca="1" si="6"/>
        <v>45776</v>
      </c>
      <c r="CQ11" s="184">
        <f t="shared" ca="1" si="6"/>
        <v>45777</v>
      </c>
      <c r="CR11" s="184">
        <f t="shared" ca="1" si="6"/>
        <v>45778</v>
      </c>
      <c r="CS11" s="184">
        <f t="shared" ca="1" si="6"/>
        <v>45779</v>
      </c>
      <c r="CT11" s="184">
        <f t="shared" ca="1" si="6"/>
        <v>45782</v>
      </c>
      <c r="CU11" s="184">
        <f t="shared" ca="1" si="6"/>
        <v>45783</v>
      </c>
      <c r="CV11" s="184">
        <f t="shared" ca="1" si="6"/>
        <v>45784</v>
      </c>
      <c r="CW11" s="184">
        <f t="shared" ca="1" si="6"/>
        <v>45785</v>
      </c>
      <c r="CX11" s="184">
        <f t="shared" ca="1" si="6"/>
        <v>45786</v>
      </c>
      <c r="CY11" s="184">
        <f t="shared" ca="1" si="6"/>
        <v>45789</v>
      </c>
      <c r="CZ11" s="184">
        <f t="shared" ca="1" si="6"/>
        <v>45790</v>
      </c>
      <c r="DA11" s="184">
        <f t="shared" ca="1" si="6"/>
        <v>45791</v>
      </c>
      <c r="DB11" s="184">
        <f t="shared" ca="1" si="6"/>
        <v>45792</v>
      </c>
      <c r="DC11" s="184">
        <f t="shared" ca="1" si="6"/>
        <v>45793</v>
      </c>
      <c r="DD11" s="184">
        <f t="shared" ca="1" si="6"/>
        <v>45796</v>
      </c>
      <c r="DE11" s="184">
        <f t="shared" ca="1" si="6"/>
        <v>45797</v>
      </c>
      <c r="DF11" s="184">
        <f t="shared" ca="1" si="6"/>
        <v>45798</v>
      </c>
      <c r="DG11" s="184">
        <f t="shared" ca="1" si="6"/>
        <v>45799</v>
      </c>
      <c r="DH11" s="184">
        <f t="shared" ca="1" si="6"/>
        <v>45800</v>
      </c>
      <c r="DI11" s="184">
        <f t="shared" ca="1" si="6"/>
        <v>45803</v>
      </c>
      <c r="DJ11" s="184">
        <f t="shared" ca="1" si="6"/>
        <v>45804</v>
      </c>
      <c r="DK11" s="184">
        <f t="shared" ca="1" si="6"/>
        <v>45805</v>
      </c>
      <c r="DL11" s="184">
        <f t="shared" ca="1" si="6"/>
        <v>45806</v>
      </c>
      <c r="DM11" s="184">
        <f t="shared" ca="1" si="6"/>
        <v>45807</v>
      </c>
      <c r="DN11" s="184">
        <f t="shared" ca="1" si="6"/>
        <v>45810</v>
      </c>
      <c r="DO11" s="184">
        <f t="shared" ca="1" si="6"/>
        <v>45811</v>
      </c>
      <c r="DP11" s="184">
        <f t="shared" ca="1" si="6"/>
        <v>45812</v>
      </c>
      <c r="DQ11" s="184">
        <f t="shared" ca="1" si="6"/>
        <v>45813</v>
      </c>
      <c r="DR11" s="184">
        <f t="shared" ca="1" si="6"/>
        <v>45814</v>
      </c>
      <c r="DS11" s="184">
        <f t="shared" ca="1" si="6"/>
        <v>45817</v>
      </c>
      <c r="DT11" s="184">
        <f t="shared" ca="1" si="6"/>
        <v>45818</v>
      </c>
      <c r="DU11" s="184">
        <f t="shared" ca="1" si="6"/>
        <v>45819</v>
      </c>
      <c r="DV11" s="184">
        <f t="shared" ca="1" si="6"/>
        <v>45820</v>
      </c>
      <c r="DW11" s="184">
        <f t="shared" ca="1" si="6"/>
        <v>45821</v>
      </c>
      <c r="DX11" s="184">
        <f t="shared" ca="1" si="6"/>
        <v>45824</v>
      </c>
      <c r="DY11" s="184">
        <f t="shared" ca="1" si="6"/>
        <v>45825</v>
      </c>
      <c r="DZ11" s="184">
        <f t="shared" ca="1" si="6"/>
        <v>45826</v>
      </c>
      <c r="EA11" s="184">
        <f t="shared" ca="1" si="6"/>
        <v>45827</v>
      </c>
      <c r="EB11" s="184">
        <f t="shared" ca="1" si="6"/>
        <v>45828</v>
      </c>
      <c r="EC11" s="184">
        <f t="shared" ca="1" si="6"/>
        <v>45831</v>
      </c>
      <c r="ED11" s="184">
        <f t="shared" ca="1" si="6"/>
        <v>45832</v>
      </c>
      <c r="EE11" s="184">
        <f t="shared" ca="1" si="6"/>
        <v>45833</v>
      </c>
      <c r="EF11" s="184">
        <f t="shared" ca="1" si="6"/>
        <v>45834</v>
      </c>
      <c r="EG11" s="184">
        <f t="shared" ca="1" si="6"/>
        <v>45835</v>
      </c>
      <c r="EH11" s="184">
        <f t="shared" ca="1" si="6"/>
        <v>45838</v>
      </c>
      <c r="EI11" s="184">
        <f t="shared" ca="1" si="6"/>
        <v>45839</v>
      </c>
      <c r="EJ11" s="184">
        <f t="shared" ca="1" si="6"/>
        <v>45840</v>
      </c>
      <c r="EK11" s="184">
        <f t="shared" ref="EK11:EP11" ca="1" si="7">IF(TEXT(EJ11,"DDD")="Fri",EJ11+3,IF(TEXT(EJ11,"DDD")="Sat",EJ11+2,EJ11+1))</f>
        <v>45841</v>
      </c>
      <c r="EL11" s="184">
        <f t="shared" ca="1" si="7"/>
        <v>45842</v>
      </c>
      <c r="EM11" s="184">
        <f t="shared" ca="1" si="7"/>
        <v>45845</v>
      </c>
      <c r="EN11" s="184">
        <f t="shared" ca="1" si="7"/>
        <v>45846</v>
      </c>
      <c r="EO11" s="184">
        <f t="shared" ca="1" si="7"/>
        <v>45847</v>
      </c>
      <c r="EP11" s="184">
        <f t="shared" ca="1" si="7"/>
        <v>45848</v>
      </c>
      <c r="EQ11" s="184">
        <f ca="1">IF(TEXT(EP11,"DDD")="Fri",EP11+3,IF(TEXT(EP11,"DDD")="Sat",EP11+2,EP11+1))</f>
        <v>45849</v>
      </c>
      <c r="ER11" s="184">
        <f t="shared" ref="ER11:FS11" ca="1" si="8">IF(TEXT(EQ11,"DDD")="Fri",EQ11+3,IF(TEXT(EQ11,"DDD")="Sat",EQ11+2,EQ11+1))</f>
        <v>45852</v>
      </c>
      <c r="ES11" s="184">
        <f t="shared" ca="1" si="8"/>
        <v>45853</v>
      </c>
      <c r="ET11" s="184">
        <f t="shared" ca="1" si="8"/>
        <v>45854</v>
      </c>
      <c r="EU11" s="184">
        <f t="shared" ca="1" si="8"/>
        <v>45855</v>
      </c>
      <c r="EV11" s="184">
        <f t="shared" ca="1" si="8"/>
        <v>45856</v>
      </c>
      <c r="EW11" s="184">
        <f t="shared" ca="1" si="8"/>
        <v>45859</v>
      </c>
      <c r="EX11" s="184">
        <f t="shared" ca="1" si="8"/>
        <v>45860</v>
      </c>
      <c r="EY11" s="184">
        <f t="shared" ca="1" si="8"/>
        <v>45861</v>
      </c>
      <c r="EZ11" s="184">
        <f t="shared" ca="1" si="8"/>
        <v>45862</v>
      </c>
      <c r="FA11" s="184">
        <f t="shared" ca="1" si="8"/>
        <v>45863</v>
      </c>
      <c r="FB11" s="184">
        <f t="shared" ca="1" si="8"/>
        <v>45866</v>
      </c>
      <c r="FC11" s="184">
        <f t="shared" ca="1" si="8"/>
        <v>45867</v>
      </c>
      <c r="FD11" s="184">
        <f t="shared" ca="1" si="8"/>
        <v>45868</v>
      </c>
      <c r="FE11" s="184">
        <f t="shared" ca="1" si="8"/>
        <v>45869</v>
      </c>
      <c r="FF11" s="184">
        <f t="shared" ca="1" si="8"/>
        <v>45870</v>
      </c>
      <c r="FG11" s="184">
        <f t="shared" ca="1" si="8"/>
        <v>45873</v>
      </c>
      <c r="FH11" s="184">
        <f t="shared" ca="1" si="8"/>
        <v>45874</v>
      </c>
      <c r="FI11" s="184">
        <f t="shared" ca="1" si="8"/>
        <v>45875</v>
      </c>
      <c r="FJ11" s="184">
        <f t="shared" ca="1" si="8"/>
        <v>45876</v>
      </c>
      <c r="FK11" s="184">
        <f t="shared" ca="1" si="8"/>
        <v>45877</v>
      </c>
      <c r="FL11" s="184">
        <f t="shared" ca="1" si="8"/>
        <v>45880</v>
      </c>
      <c r="FM11" s="184">
        <f t="shared" ca="1" si="8"/>
        <v>45881</v>
      </c>
      <c r="FN11" s="184">
        <f t="shared" ca="1" si="8"/>
        <v>45882</v>
      </c>
      <c r="FO11" s="184">
        <f t="shared" ca="1" si="8"/>
        <v>45883</v>
      </c>
      <c r="FP11" s="184">
        <f t="shared" ca="1" si="8"/>
        <v>45884</v>
      </c>
      <c r="FQ11" s="184">
        <f t="shared" ca="1" si="8"/>
        <v>45887</v>
      </c>
      <c r="FR11" s="184">
        <f t="shared" ca="1" si="8"/>
        <v>45888</v>
      </c>
      <c r="FS11" s="184">
        <f t="shared" ca="1" si="8"/>
        <v>45889</v>
      </c>
      <c r="FT11" s="184">
        <f ca="1">IF(TEXT(FS11,"DDD")="Fri",FS11+3,IF(TEXT(FS11,"DDD")="Sat",FS11+2,FS11+1))</f>
        <v>45890</v>
      </c>
      <c r="FU11" s="184">
        <f t="shared" ref="FU11:IF11" ca="1" si="9">IF(TEXT(FT11,"DDD")="Fri",FT11+3,IF(TEXT(FT11,"DDD")="Sat",FT11+2,FT11+1))</f>
        <v>45891</v>
      </c>
      <c r="FV11" s="184">
        <f t="shared" ca="1" si="9"/>
        <v>45894</v>
      </c>
      <c r="FW11" s="184">
        <f t="shared" ca="1" si="9"/>
        <v>45895</v>
      </c>
      <c r="FX11" s="184">
        <f t="shared" ca="1" si="9"/>
        <v>45896</v>
      </c>
      <c r="FY11" s="184">
        <f t="shared" ca="1" si="9"/>
        <v>45897</v>
      </c>
      <c r="FZ11" s="184">
        <f t="shared" ca="1" si="9"/>
        <v>45898</v>
      </c>
      <c r="GA11" s="184">
        <f t="shared" ca="1" si="9"/>
        <v>45901</v>
      </c>
      <c r="GB11" s="184">
        <f t="shared" ca="1" si="9"/>
        <v>45902</v>
      </c>
      <c r="GC11" s="184">
        <f t="shared" ca="1" si="9"/>
        <v>45903</v>
      </c>
      <c r="GD11" s="184">
        <f t="shared" ca="1" si="9"/>
        <v>45904</v>
      </c>
      <c r="GE11" s="184">
        <f t="shared" ca="1" si="9"/>
        <v>45905</v>
      </c>
      <c r="GF11" s="184">
        <f t="shared" ca="1" si="9"/>
        <v>45908</v>
      </c>
      <c r="GG11" s="184">
        <f t="shared" ca="1" si="9"/>
        <v>45909</v>
      </c>
      <c r="GH11" s="184">
        <f t="shared" ca="1" si="9"/>
        <v>45910</v>
      </c>
      <c r="GI11" s="184">
        <f t="shared" ca="1" si="9"/>
        <v>45911</v>
      </c>
      <c r="GJ11" s="184">
        <f t="shared" ca="1" si="9"/>
        <v>45912</v>
      </c>
      <c r="GK11" s="184">
        <f t="shared" ca="1" si="9"/>
        <v>45915</v>
      </c>
      <c r="GL11" s="184">
        <f t="shared" ca="1" si="9"/>
        <v>45916</v>
      </c>
      <c r="GM11" s="184">
        <f t="shared" ca="1" si="9"/>
        <v>45917</v>
      </c>
      <c r="GN11" s="184">
        <f t="shared" ca="1" si="9"/>
        <v>45918</v>
      </c>
      <c r="GO11" s="184">
        <f t="shared" ca="1" si="9"/>
        <v>45919</v>
      </c>
      <c r="GP11" s="184">
        <f t="shared" ca="1" si="9"/>
        <v>45922</v>
      </c>
      <c r="GQ11" s="184">
        <f t="shared" ca="1" si="9"/>
        <v>45923</v>
      </c>
      <c r="GR11" s="184">
        <f t="shared" ca="1" si="9"/>
        <v>45924</v>
      </c>
      <c r="GS11" s="184">
        <f t="shared" ca="1" si="9"/>
        <v>45925</v>
      </c>
      <c r="GT11" s="184">
        <f t="shared" ca="1" si="9"/>
        <v>45926</v>
      </c>
      <c r="GU11" s="184">
        <f t="shared" ca="1" si="9"/>
        <v>45929</v>
      </c>
      <c r="GV11" s="184">
        <f t="shared" ca="1" si="9"/>
        <v>45930</v>
      </c>
      <c r="GW11" s="184">
        <f t="shared" ca="1" si="9"/>
        <v>45931</v>
      </c>
      <c r="GX11" s="184">
        <f t="shared" ca="1" si="9"/>
        <v>45932</v>
      </c>
      <c r="GY11" s="184">
        <f t="shared" ca="1" si="9"/>
        <v>45933</v>
      </c>
      <c r="GZ11" s="184">
        <f t="shared" ca="1" si="9"/>
        <v>45936</v>
      </c>
      <c r="HA11" s="184">
        <f t="shared" ca="1" si="9"/>
        <v>45937</v>
      </c>
      <c r="HB11" s="184">
        <f t="shared" ca="1" si="9"/>
        <v>45938</v>
      </c>
      <c r="HC11" s="184">
        <f t="shared" ca="1" si="9"/>
        <v>45939</v>
      </c>
      <c r="HD11" s="184">
        <f t="shared" ca="1" si="9"/>
        <v>45940</v>
      </c>
      <c r="HE11" s="184">
        <f t="shared" ca="1" si="9"/>
        <v>45943</v>
      </c>
      <c r="HF11" s="184">
        <f t="shared" ca="1" si="9"/>
        <v>45944</v>
      </c>
      <c r="HG11" s="184">
        <f t="shared" ca="1" si="9"/>
        <v>45945</v>
      </c>
      <c r="HH11" s="184">
        <f t="shared" ca="1" si="9"/>
        <v>45946</v>
      </c>
      <c r="HI11" s="184">
        <f t="shared" ca="1" si="9"/>
        <v>45947</v>
      </c>
      <c r="HJ11" s="184">
        <f t="shared" ca="1" si="9"/>
        <v>45950</v>
      </c>
      <c r="HK11" s="184">
        <f t="shared" ca="1" si="9"/>
        <v>45951</v>
      </c>
      <c r="HL11" s="184">
        <f t="shared" ca="1" si="9"/>
        <v>45952</v>
      </c>
      <c r="HM11" s="184">
        <f t="shared" ca="1" si="9"/>
        <v>45953</v>
      </c>
      <c r="HN11" s="184">
        <f t="shared" ca="1" si="9"/>
        <v>45954</v>
      </c>
      <c r="HO11" s="184">
        <f t="shared" ca="1" si="9"/>
        <v>45957</v>
      </c>
      <c r="HP11" s="184">
        <f t="shared" ca="1" si="9"/>
        <v>45958</v>
      </c>
      <c r="HQ11" s="184">
        <f t="shared" ca="1" si="9"/>
        <v>45959</v>
      </c>
      <c r="HR11" s="184">
        <f t="shared" ca="1" si="9"/>
        <v>45960</v>
      </c>
      <c r="HS11" s="184">
        <f t="shared" ca="1" si="9"/>
        <v>45961</v>
      </c>
      <c r="HT11" s="184">
        <f t="shared" ca="1" si="9"/>
        <v>45964</v>
      </c>
      <c r="HU11" s="184">
        <f t="shared" ca="1" si="9"/>
        <v>45965</v>
      </c>
      <c r="HV11" s="184">
        <f t="shared" ca="1" si="9"/>
        <v>45966</v>
      </c>
      <c r="HW11" s="184">
        <f t="shared" ca="1" si="9"/>
        <v>45967</v>
      </c>
      <c r="HX11" s="184">
        <f t="shared" ca="1" si="9"/>
        <v>45968</v>
      </c>
      <c r="HY11" s="184">
        <f t="shared" ca="1" si="9"/>
        <v>45971</v>
      </c>
      <c r="HZ11" s="184">
        <f t="shared" ca="1" si="9"/>
        <v>45972</v>
      </c>
      <c r="IA11" s="184">
        <f t="shared" ca="1" si="9"/>
        <v>45973</v>
      </c>
      <c r="IB11" s="184">
        <f t="shared" ca="1" si="9"/>
        <v>45974</v>
      </c>
      <c r="IC11" s="184">
        <f t="shared" ca="1" si="9"/>
        <v>45975</v>
      </c>
      <c r="ID11" s="184">
        <f t="shared" ca="1" si="9"/>
        <v>45978</v>
      </c>
      <c r="IE11" s="184">
        <f t="shared" ca="1" si="9"/>
        <v>45979</v>
      </c>
      <c r="IF11" s="184">
        <f t="shared" ca="1" si="9"/>
        <v>45980</v>
      </c>
      <c r="IG11" s="184">
        <f t="shared" ref="IG11:IY11" ca="1" si="10">IF(TEXT(IF11,"DDD")="Fri",IF11+3,IF(TEXT(IF11,"DDD")="Sat",IF11+2,IF11+1))</f>
        <v>45981</v>
      </c>
      <c r="IH11" s="184">
        <f t="shared" ca="1" si="10"/>
        <v>45982</v>
      </c>
      <c r="II11" s="184">
        <f t="shared" ca="1" si="10"/>
        <v>45985</v>
      </c>
      <c r="IJ11" s="184">
        <f t="shared" ca="1" si="10"/>
        <v>45986</v>
      </c>
      <c r="IK11" s="184">
        <f t="shared" ca="1" si="10"/>
        <v>45987</v>
      </c>
      <c r="IL11" s="184">
        <f t="shared" ca="1" si="10"/>
        <v>45988</v>
      </c>
      <c r="IM11" s="184">
        <f t="shared" ca="1" si="10"/>
        <v>45989</v>
      </c>
      <c r="IN11" s="184">
        <f t="shared" ca="1" si="10"/>
        <v>45992</v>
      </c>
      <c r="IO11" s="184">
        <f t="shared" ca="1" si="10"/>
        <v>45993</v>
      </c>
      <c r="IP11" s="184">
        <f t="shared" ca="1" si="10"/>
        <v>45994</v>
      </c>
      <c r="IQ11" s="184">
        <f t="shared" ca="1" si="10"/>
        <v>45995</v>
      </c>
      <c r="IR11" s="184">
        <f t="shared" ca="1" si="10"/>
        <v>45996</v>
      </c>
      <c r="IS11" s="184">
        <f t="shared" ca="1" si="10"/>
        <v>45999</v>
      </c>
      <c r="IT11" s="184">
        <f t="shared" ca="1" si="10"/>
        <v>46000</v>
      </c>
      <c r="IU11" s="184">
        <f t="shared" ca="1" si="10"/>
        <v>46001</v>
      </c>
      <c r="IV11" s="184">
        <f t="shared" ca="1" si="10"/>
        <v>46002</v>
      </c>
      <c r="IW11" s="184">
        <f t="shared" ca="1" si="10"/>
        <v>46003</v>
      </c>
      <c r="IX11" s="184">
        <f t="shared" ca="1" si="10"/>
        <v>46006</v>
      </c>
      <c r="IY11" s="184">
        <f t="shared" ca="1" si="10"/>
        <v>46007</v>
      </c>
      <c r="IZ11" s="184">
        <f ca="1">IF(TEXT(IY11,"DDD")="Fri",IY11+3,IF(TEXT(IY11,"DDD")="Sat",IY11+2,IY11+1))</f>
        <v>46008</v>
      </c>
      <c r="JA11" s="184">
        <f t="shared" ref="JA11:JJ11" ca="1" si="11">IF(TEXT(IZ11,"DDD")="Fri",IZ11+3,IF(TEXT(IZ11,"DDD")="Sat",IZ11+2,IZ11+1))</f>
        <v>46009</v>
      </c>
      <c r="JB11" s="184">
        <f t="shared" ca="1" si="11"/>
        <v>46010</v>
      </c>
      <c r="JC11" s="184">
        <f t="shared" ca="1" si="11"/>
        <v>46013</v>
      </c>
      <c r="JD11" s="184">
        <f t="shared" ca="1" si="11"/>
        <v>46014</v>
      </c>
      <c r="JE11" s="184">
        <f t="shared" ca="1" si="11"/>
        <v>46015</v>
      </c>
      <c r="JF11" s="184">
        <f t="shared" ca="1" si="11"/>
        <v>46016</v>
      </c>
      <c r="JG11" s="184">
        <f t="shared" ca="1" si="11"/>
        <v>46017</v>
      </c>
      <c r="JH11" s="184">
        <f t="shared" ca="1" si="11"/>
        <v>46020</v>
      </c>
      <c r="JI11" s="184">
        <f t="shared" ca="1" si="11"/>
        <v>46021</v>
      </c>
      <c r="JJ11" s="184">
        <f t="shared" ca="1" si="11"/>
        <v>46022</v>
      </c>
      <c r="JK11" s="109"/>
    </row>
    <row r="12" spans="2:271" ht="17" thickBot="1" x14ac:dyDescent="0.25">
      <c r="B12" s="107"/>
      <c r="C12" s="301">
        <v>111</v>
      </c>
      <c r="D12" s="302"/>
      <c r="E12" s="303" t="s">
        <v>40</v>
      </c>
      <c r="F12" s="304"/>
      <c r="G12" s="305">
        <v>45894</v>
      </c>
      <c r="H12" s="304"/>
      <c r="I12" s="13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  <c r="AN12" s="101"/>
      <c r="AO12" s="101"/>
      <c r="AP12" s="101"/>
      <c r="AQ12" s="101"/>
      <c r="AR12" s="101"/>
      <c r="AS12" s="101"/>
      <c r="AT12" s="101"/>
      <c r="AU12" s="101"/>
      <c r="AV12" s="101"/>
      <c r="AW12" s="101"/>
      <c r="AX12" s="101"/>
      <c r="AY12" s="101"/>
      <c r="AZ12" s="101"/>
      <c r="BA12" s="101"/>
      <c r="BB12" s="101"/>
      <c r="BC12" s="101"/>
      <c r="BD12" s="101"/>
      <c r="BE12" s="101"/>
      <c r="BF12" s="101"/>
      <c r="BG12" s="101"/>
      <c r="BH12" s="101"/>
      <c r="BI12" s="101"/>
      <c r="BJ12" s="101"/>
      <c r="BK12" s="101"/>
      <c r="BL12" s="101"/>
      <c r="BM12" s="101"/>
      <c r="BN12" s="101"/>
      <c r="BO12" s="101"/>
      <c r="BP12" s="101"/>
      <c r="BQ12" s="101"/>
      <c r="BR12" s="101"/>
      <c r="BS12" s="101"/>
      <c r="BT12" s="101"/>
      <c r="BU12" s="101"/>
      <c r="BV12" s="101"/>
      <c r="BW12" s="101"/>
      <c r="BX12" s="101"/>
      <c r="BY12" s="101"/>
      <c r="BZ12" s="101"/>
      <c r="CA12" s="101"/>
      <c r="CB12" s="101"/>
      <c r="CC12" s="101"/>
      <c r="CD12" s="101"/>
      <c r="CE12" s="101"/>
      <c r="CF12" s="101"/>
      <c r="CG12" s="101"/>
      <c r="CH12" s="101"/>
      <c r="CI12" s="101"/>
      <c r="CJ12" s="101"/>
      <c r="CK12" s="101"/>
      <c r="CL12" s="101"/>
      <c r="CM12" s="101"/>
      <c r="CN12" s="101"/>
      <c r="CO12" s="101"/>
      <c r="CP12" s="101"/>
      <c r="CQ12" s="101"/>
      <c r="CR12" s="101"/>
      <c r="CS12" s="101"/>
      <c r="CT12" s="101"/>
      <c r="CU12" s="101"/>
      <c r="CV12" s="101"/>
      <c r="CW12" s="101"/>
      <c r="CX12" s="101"/>
      <c r="CY12" s="101"/>
      <c r="CZ12" s="101"/>
      <c r="DA12" s="101"/>
      <c r="DB12" s="101"/>
      <c r="DC12" s="101"/>
      <c r="DD12" s="101"/>
      <c r="DE12" s="101"/>
      <c r="DF12" s="101"/>
      <c r="DG12" s="101"/>
      <c r="DH12" s="101"/>
      <c r="DI12" s="101"/>
      <c r="DJ12" s="101"/>
      <c r="DK12" s="101"/>
      <c r="DL12" s="101"/>
      <c r="DM12" s="101"/>
      <c r="DN12" s="101"/>
      <c r="DO12" s="101"/>
      <c r="DP12" s="101"/>
      <c r="DQ12" s="101"/>
      <c r="DR12" s="101"/>
      <c r="DS12" s="101"/>
      <c r="DT12" s="101"/>
      <c r="DU12" s="101"/>
      <c r="DV12" s="101"/>
      <c r="DW12" s="101"/>
      <c r="DX12" s="101"/>
      <c r="DY12" s="101"/>
      <c r="DZ12" s="101"/>
      <c r="EA12" s="101"/>
      <c r="EB12" s="101"/>
      <c r="EC12" s="101"/>
      <c r="ED12" s="101"/>
      <c r="EE12" s="101"/>
      <c r="EF12" s="101"/>
      <c r="EG12" s="101"/>
      <c r="EH12" s="101"/>
      <c r="EI12" s="101"/>
      <c r="EJ12" s="101"/>
      <c r="EK12" s="101"/>
      <c r="EL12" s="101"/>
      <c r="EM12" s="101"/>
      <c r="EN12" s="101"/>
      <c r="EO12" s="101"/>
      <c r="EP12" s="101"/>
      <c r="EQ12" s="101"/>
      <c r="ER12" s="101"/>
      <c r="ES12" s="101"/>
      <c r="ET12" s="101"/>
      <c r="EU12" s="101"/>
      <c r="EV12" s="101"/>
      <c r="EW12" s="101"/>
      <c r="EX12" s="101"/>
      <c r="EY12" s="101"/>
      <c r="EZ12" s="101"/>
      <c r="FA12" s="101"/>
      <c r="FB12" s="101"/>
      <c r="FC12" s="101"/>
      <c r="FD12" s="101"/>
      <c r="FE12" s="101"/>
      <c r="FF12" s="101"/>
      <c r="FG12" s="101"/>
      <c r="FH12" s="101"/>
      <c r="FI12" s="101"/>
      <c r="FJ12" s="101"/>
      <c r="FK12" s="101"/>
      <c r="FL12" s="101"/>
      <c r="FM12" s="101"/>
      <c r="FN12" s="101"/>
      <c r="FO12" s="101"/>
      <c r="FP12" s="101"/>
      <c r="FQ12" s="101"/>
      <c r="FR12" s="101"/>
      <c r="FS12" s="101"/>
      <c r="FT12" s="101"/>
      <c r="FU12" s="101"/>
      <c r="FV12" s="101"/>
      <c r="FW12" s="101"/>
      <c r="FX12" s="101"/>
      <c r="FY12" s="101"/>
      <c r="FZ12" s="101"/>
      <c r="GA12" s="101"/>
      <c r="GB12" s="101"/>
      <c r="GC12" s="101"/>
      <c r="GD12" s="101"/>
      <c r="GE12" s="101"/>
      <c r="GF12" s="101"/>
      <c r="GG12" s="101"/>
      <c r="GH12" s="101"/>
      <c r="GI12" s="101"/>
      <c r="GJ12" s="101"/>
      <c r="GK12" s="101"/>
      <c r="GL12" s="101"/>
      <c r="GM12" s="101"/>
      <c r="GN12" s="101"/>
      <c r="GO12" s="101"/>
      <c r="GP12" s="101"/>
      <c r="GQ12" s="101"/>
      <c r="GR12" s="101"/>
      <c r="GS12" s="101"/>
      <c r="GT12" s="101"/>
      <c r="GU12" s="101"/>
      <c r="GV12" s="101"/>
      <c r="GW12" s="101"/>
      <c r="GX12" s="101"/>
      <c r="GY12" s="101"/>
      <c r="GZ12" s="101"/>
      <c r="HA12" s="101"/>
      <c r="HB12" s="101"/>
      <c r="HC12" s="101"/>
      <c r="HD12" s="101"/>
      <c r="HE12" s="101"/>
      <c r="HF12" s="101"/>
      <c r="HG12" s="101"/>
      <c r="HH12" s="101"/>
      <c r="HI12" s="101"/>
      <c r="HJ12" s="101"/>
      <c r="HK12" s="101"/>
      <c r="HL12" s="101"/>
      <c r="HM12" s="101"/>
      <c r="HN12" s="101"/>
      <c r="HO12" s="101"/>
      <c r="HP12" s="101"/>
      <c r="HQ12" s="101"/>
      <c r="HR12" s="101"/>
      <c r="HS12" s="101"/>
      <c r="HT12" s="101"/>
      <c r="HU12" s="101"/>
      <c r="HV12" s="101"/>
      <c r="HW12" s="101"/>
      <c r="HX12" s="101"/>
      <c r="HY12" s="101"/>
      <c r="HZ12" s="101"/>
      <c r="IA12" s="101"/>
      <c r="IB12" s="101"/>
      <c r="IC12" s="101"/>
      <c r="ID12" s="101"/>
      <c r="IE12" s="101"/>
      <c r="IF12" s="101"/>
      <c r="IG12" s="101"/>
      <c r="IH12" s="101"/>
      <c r="II12" s="101"/>
      <c r="IJ12" s="101"/>
      <c r="IK12" s="101"/>
      <c r="IL12" s="101"/>
      <c r="IM12" s="101"/>
      <c r="IN12" s="101"/>
      <c r="IO12" s="101"/>
      <c r="IP12" s="101"/>
      <c r="IQ12" s="101"/>
      <c r="IR12" s="101"/>
      <c r="IS12" s="101"/>
      <c r="IT12" s="101"/>
      <c r="IU12" s="101"/>
      <c r="IV12" s="101"/>
      <c r="IW12" s="101"/>
      <c r="IX12" s="101"/>
      <c r="IY12" s="101"/>
      <c r="IZ12" s="101"/>
      <c r="JA12" s="101"/>
      <c r="JB12" s="101"/>
      <c r="JC12" s="101"/>
      <c r="JD12" s="101"/>
      <c r="JE12" s="101"/>
      <c r="JF12" s="101"/>
      <c r="JG12" s="101"/>
      <c r="JH12" s="101"/>
      <c r="JI12" s="101"/>
      <c r="JJ12" s="101"/>
      <c r="JK12" s="109"/>
    </row>
    <row r="13" spans="2:271" x14ac:dyDescent="0.2">
      <c r="B13" s="10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3"/>
      <c r="BF13" s="113"/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3"/>
      <c r="CF13" s="113"/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3"/>
      <c r="CZ13" s="113"/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3"/>
      <c r="DR13" s="113"/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3"/>
      <c r="EI13" s="113"/>
      <c r="EJ13" s="113"/>
      <c r="EK13" s="113"/>
      <c r="EL13" s="113"/>
      <c r="EM13" s="113"/>
      <c r="EN13" s="113"/>
      <c r="EO13" s="113"/>
      <c r="EP13" s="113"/>
      <c r="EQ13" s="113"/>
      <c r="ER13" s="113"/>
      <c r="ES13" s="113"/>
      <c r="ET13" s="113"/>
      <c r="EU13" s="113"/>
      <c r="EV13" s="113"/>
      <c r="EW13" s="113"/>
      <c r="EX13" s="113"/>
      <c r="EY13" s="113"/>
      <c r="EZ13" s="113"/>
      <c r="FA13" s="113"/>
      <c r="FB13" s="113"/>
      <c r="FC13" s="113"/>
      <c r="FD13" s="113"/>
      <c r="FE13" s="113"/>
      <c r="FF13" s="113"/>
      <c r="FG13" s="113"/>
      <c r="FH13" s="113"/>
      <c r="FI13" s="113"/>
      <c r="FJ13" s="113"/>
      <c r="FK13" s="113"/>
      <c r="FL13" s="113"/>
      <c r="FM13" s="113"/>
      <c r="FN13" s="113"/>
      <c r="FO13" s="113"/>
      <c r="FP13" s="113"/>
      <c r="FQ13" s="113"/>
      <c r="FR13" s="113"/>
      <c r="FS13" s="113"/>
      <c r="FT13" s="113"/>
      <c r="FU13" s="113"/>
      <c r="FV13" s="113"/>
      <c r="FW13" s="113"/>
      <c r="FX13" s="113"/>
      <c r="FY13" s="113"/>
      <c r="FZ13" s="113"/>
      <c r="GA13" s="113"/>
      <c r="GB13" s="113"/>
      <c r="GC13" s="113"/>
      <c r="GD13" s="113"/>
      <c r="GE13" s="113"/>
      <c r="GF13" s="113"/>
      <c r="GG13" s="113"/>
      <c r="GH13" s="113"/>
      <c r="GI13" s="113"/>
      <c r="GJ13" s="113"/>
      <c r="GK13" s="113"/>
      <c r="GL13" s="113"/>
      <c r="GM13" s="113"/>
      <c r="GN13" s="113"/>
      <c r="GO13" s="113"/>
      <c r="GP13" s="113"/>
      <c r="GQ13" s="113"/>
      <c r="GR13" s="113"/>
      <c r="GS13" s="113"/>
      <c r="GT13" s="113"/>
      <c r="GU13" s="113"/>
      <c r="GV13" s="113"/>
      <c r="GW13" s="113"/>
      <c r="GX13" s="113"/>
      <c r="GY13" s="113"/>
      <c r="GZ13" s="113"/>
      <c r="HA13" s="113"/>
      <c r="HB13" s="113"/>
      <c r="HC13" s="113"/>
      <c r="HD13" s="113"/>
      <c r="HE13" s="113"/>
      <c r="HF13" s="113"/>
      <c r="HG13" s="113"/>
      <c r="HH13" s="113"/>
      <c r="HI13" s="113"/>
      <c r="HJ13" s="113"/>
      <c r="HK13" s="113"/>
      <c r="HL13" s="113"/>
      <c r="HM13" s="113"/>
      <c r="HN13" s="113"/>
      <c r="HO13" s="113"/>
      <c r="HP13" s="113"/>
      <c r="HQ13" s="113"/>
      <c r="HR13" s="113"/>
      <c r="HS13" s="113"/>
      <c r="HT13" s="113"/>
      <c r="HU13" s="113"/>
      <c r="HV13" s="113"/>
      <c r="HW13" s="113"/>
      <c r="HX13" s="113"/>
      <c r="HY13" s="113"/>
      <c r="HZ13" s="113"/>
      <c r="IA13" s="113"/>
      <c r="IB13" s="113"/>
      <c r="IC13" s="113"/>
      <c r="ID13" s="113"/>
      <c r="IE13" s="113"/>
      <c r="IF13" s="113"/>
      <c r="IG13" s="113"/>
      <c r="IH13" s="113"/>
      <c r="II13" s="113"/>
      <c r="IJ13" s="113"/>
      <c r="IK13" s="113"/>
      <c r="IL13" s="113"/>
      <c r="IM13" s="113"/>
      <c r="IN13" s="113"/>
      <c r="IO13" s="113"/>
      <c r="IP13" s="113"/>
      <c r="IQ13" s="113"/>
      <c r="IR13" s="113"/>
      <c r="IS13" s="113"/>
      <c r="IT13" s="113"/>
      <c r="IU13" s="113"/>
      <c r="IV13" s="113"/>
      <c r="IW13" s="113"/>
      <c r="IX13" s="113"/>
      <c r="IY13" s="113"/>
      <c r="IZ13" s="113"/>
      <c r="JA13" s="113"/>
      <c r="JB13" s="113"/>
      <c r="JC13" s="113"/>
      <c r="JD13" s="113"/>
      <c r="JE13" s="113"/>
      <c r="JF13" s="113"/>
      <c r="JG13" s="113"/>
      <c r="JH13" s="113"/>
      <c r="JI13" s="113"/>
      <c r="JJ13" s="113"/>
      <c r="JK13" s="109"/>
    </row>
    <row r="14" spans="2:271" ht="17" thickBot="1" x14ac:dyDescent="0.25">
      <c r="B14" s="110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4"/>
      <c r="CR14" s="114"/>
      <c r="CS14" s="114"/>
      <c r="CT14" s="114"/>
      <c r="CU14" s="114"/>
      <c r="CV14" s="114"/>
      <c r="CW14" s="114"/>
      <c r="CX14" s="114"/>
      <c r="CY14" s="114"/>
      <c r="CZ14" s="114"/>
      <c r="DA14" s="114"/>
      <c r="DB14" s="114"/>
      <c r="DC14" s="114"/>
      <c r="DD14" s="114"/>
      <c r="DE14" s="114"/>
      <c r="DF14" s="114"/>
      <c r="DG14" s="114"/>
      <c r="DH14" s="114"/>
      <c r="DI14" s="114"/>
      <c r="DJ14" s="114"/>
      <c r="DK14" s="114"/>
      <c r="DL14" s="114"/>
      <c r="DM14" s="114"/>
      <c r="DN14" s="114"/>
      <c r="DO14" s="114"/>
      <c r="DP14" s="114"/>
      <c r="DQ14" s="114"/>
      <c r="DR14" s="114"/>
      <c r="DS14" s="114"/>
      <c r="DT14" s="114"/>
      <c r="DU14" s="114"/>
      <c r="DV14" s="114"/>
      <c r="DW14" s="114"/>
      <c r="DX14" s="114"/>
      <c r="DY14" s="114"/>
      <c r="DZ14" s="114"/>
      <c r="EA14" s="114"/>
      <c r="EB14" s="114"/>
      <c r="EC14" s="114"/>
      <c r="ED14" s="114"/>
      <c r="EE14" s="114"/>
      <c r="EF14" s="114"/>
      <c r="EG14" s="114"/>
      <c r="EH14" s="114"/>
      <c r="EI14" s="114"/>
      <c r="EJ14" s="114"/>
      <c r="EK14" s="114"/>
      <c r="EL14" s="114"/>
      <c r="EM14" s="114"/>
      <c r="EN14" s="114"/>
      <c r="EO14" s="114"/>
      <c r="EP14" s="114"/>
      <c r="EQ14" s="114"/>
      <c r="ER14" s="114"/>
      <c r="ES14" s="114"/>
      <c r="ET14" s="114"/>
      <c r="EU14" s="114"/>
      <c r="EV14" s="114"/>
      <c r="EW14" s="114"/>
      <c r="EX14" s="114"/>
      <c r="EY14" s="114"/>
      <c r="EZ14" s="114"/>
      <c r="FA14" s="114"/>
      <c r="FB14" s="114"/>
      <c r="FC14" s="114"/>
      <c r="FD14" s="114"/>
      <c r="FE14" s="114"/>
      <c r="FF14" s="114"/>
      <c r="FG14" s="114"/>
      <c r="FH14" s="114"/>
      <c r="FI14" s="114"/>
      <c r="FJ14" s="114"/>
      <c r="FK14" s="114"/>
      <c r="FL14" s="114"/>
      <c r="FM14" s="114"/>
      <c r="FN14" s="114"/>
      <c r="FO14" s="114"/>
      <c r="FP14" s="114"/>
      <c r="FQ14" s="114"/>
      <c r="FR14" s="114"/>
      <c r="FS14" s="114"/>
      <c r="FT14" s="114"/>
      <c r="FU14" s="114"/>
      <c r="FV14" s="114"/>
      <c r="FW14" s="114"/>
      <c r="FX14" s="114"/>
      <c r="FY14" s="114"/>
      <c r="FZ14" s="114"/>
      <c r="GA14" s="114"/>
      <c r="GB14" s="114"/>
      <c r="GC14" s="114"/>
      <c r="GD14" s="114"/>
      <c r="GE14" s="114"/>
      <c r="GF14" s="114"/>
      <c r="GG14" s="114"/>
      <c r="GH14" s="114"/>
      <c r="GI14" s="114"/>
      <c r="GJ14" s="114"/>
      <c r="GK14" s="114"/>
      <c r="GL14" s="114"/>
      <c r="GM14" s="114"/>
      <c r="GN14" s="114"/>
      <c r="GO14" s="114"/>
      <c r="GP14" s="114"/>
      <c r="GQ14" s="114"/>
      <c r="GR14" s="114"/>
      <c r="GS14" s="114"/>
      <c r="GT14" s="114"/>
      <c r="GU14" s="114"/>
      <c r="GV14" s="114"/>
      <c r="GW14" s="114"/>
      <c r="GX14" s="114"/>
      <c r="GY14" s="114"/>
      <c r="GZ14" s="114"/>
      <c r="HA14" s="114"/>
      <c r="HB14" s="114"/>
      <c r="HC14" s="114"/>
      <c r="HD14" s="114"/>
      <c r="HE14" s="114"/>
      <c r="HF14" s="114"/>
      <c r="HG14" s="114"/>
      <c r="HH14" s="114"/>
      <c r="HI14" s="114"/>
      <c r="HJ14" s="114"/>
      <c r="HK14" s="114"/>
      <c r="HL14" s="114"/>
      <c r="HM14" s="114"/>
      <c r="HN14" s="114"/>
      <c r="HO14" s="114"/>
      <c r="HP14" s="114"/>
      <c r="HQ14" s="114"/>
      <c r="HR14" s="114"/>
      <c r="HS14" s="114"/>
      <c r="HT14" s="114"/>
      <c r="HU14" s="114"/>
      <c r="HV14" s="114"/>
      <c r="HW14" s="114"/>
      <c r="HX14" s="114"/>
      <c r="HY14" s="114"/>
      <c r="HZ14" s="114"/>
      <c r="IA14" s="114"/>
      <c r="IB14" s="114"/>
      <c r="IC14" s="114"/>
      <c r="ID14" s="114"/>
      <c r="IE14" s="114"/>
      <c r="IF14" s="114"/>
      <c r="IG14" s="114"/>
      <c r="IH14" s="114"/>
      <c r="II14" s="114"/>
      <c r="IJ14" s="114"/>
      <c r="IK14" s="114"/>
      <c r="IL14" s="114"/>
      <c r="IM14" s="114"/>
      <c r="IN14" s="114"/>
      <c r="IO14" s="114"/>
      <c r="IP14" s="114"/>
      <c r="IQ14" s="114"/>
      <c r="IR14" s="114"/>
      <c r="IS14" s="114"/>
      <c r="IT14" s="114"/>
      <c r="IU14" s="114"/>
      <c r="IV14" s="114"/>
      <c r="IW14" s="114"/>
      <c r="IX14" s="114"/>
      <c r="IY14" s="114"/>
      <c r="IZ14" s="114"/>
      <c r="JA14" s="114"/>
      <c r="JB14" s="114"/>
      <c r="JC14" s="114"/>
      <c r="JD14" s="114"/>
      <c r="JE14" s="114"/>
      <c r="JF14" s="114"/>
      <c r="JG14" s="114"/>
      <c r="JH14" s="114"/>
      <c r="JI14" s="114"/>
      <c r="JJ14" s="114"/>
      <c r="JK14" s="112"/>
    </row>
    <row r="15" spans="2:271" ht="18" thickTop="1" thickBot="1" x14ac:dyDescent="0.25">
      <c r="B15" s="4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6"/>
    </row>
    <row r="18" spans="2:22" ht="17" thickBot="1" x14ac:dyDescent="0.25"/>
    <row r="19" spans="2:22" ht="16" customHeight="1" x14ac:dyDescent="0.2">
      <c r="B19" s="185"/>
      <c r="C19" s="298" t="s">
        <v>87</v>
      </c>
      <c r="D19" s="298"/>
      <c r="E19" s="298"/>
      <c r="F19" s="298"/>
      <c r="G19" s="298"/>
      <c r="H19" s="298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06"/>
    </row>
    <row r="20" spans="2:22" ht="16" customHeight="1" x14ac:dyDescent="0.2">
      <c r="B20" s="186"/>
      <c r="C20" s="299"/>
      <c r="D20" s="299"/>
      <c r="E20" s="299"/>
      <c r="F20" s="299"/>
      <c r="G20" s="299"/>
      <c r="H20" s="299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09"/>
    </row>
    <row r="21" spans="2:22" ht="16" customHeight="1" x14ac:dyDescent="0.2">
      <c r="B21" s="186"/>
      <c r="C21" s="299"/>
      <c r="D21" s="299"/>
      <c r="E21" s="299"/>
      <c r="F21" s="299"/>
      <c r="G21" s="299"/>
      <c r="H21" s="299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09"/>
    </row>
    <row r="22" spans="2:22" ht="16" customHeight="1" x14ac:dyDescent="0.2">
      <c r="B22" s="186"/>
      <c r="C22" s="299"/>
      <c r="D22" s="299"/>
      <c r="E22" s="299"/>
      <c r="F22" s="299"/>
      <c r="G22" s="299"/>
      <c r="H22" s="299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09"/>
    </row>
    <row r="23" spans="2:22" ht="16" customHeight="1" thickBot="1" x14ac:dyDescent="0.25">
      <c r="B23" s="186"/>
      <c r="C23" s="300"/>
      <c r="D23" s="300"/>
      <c r="E23" s="300"/>
      <c r="F23" s="300"/>
      <c r="G23" s="300"/>
      <c r="H23" s="300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09"/>
    </row>
    <row r="24" spans="2:22" ht="18" thickTop="1" thickBot="1" x14ac:dyDescent="0.25">
      <c r="B24" s="107"/>
      <c r="C24" s="4"/>
      <c r="D24" s="3"/>
      <c r="E24" s="3"/>
      <c r="F24" s="3"/>
      <c r="G24" s="3"/>
      <c r="H24" s="3"/>
      <c r="I24" s="10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6"/>
      <c r="V24" s="109"/>
    </row>
    <row r="25" spans="2:22" ht="17" thickBot="1" x14ac:dyDescent="0.25">
      <c r="B25" s="107"/>
      <c r="C25" s="194" t="s">
        <v>44</v>
      </c>
      <c r="D25" s="195"/>
      <c r="E25" s="194" t="s">
        <v>39</v>
      </c>
      <c r="F25" s="199"/>
      <c r="G25" s="194" t="s">
        <v>38</v>
      </c>
      <c r="H25" s="195"/>
      <c r="I25" s="10"/>
      <c r="J25" s="291">
        <v>2025</v>
      </c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3"/>
      <c r="V25" s="109"/>
    </row>
    <row r="26" spans="2:22" ht="17" thickBot="1" x14ac:dyDescent="0.25">
      <c r="B26" s="107"/>
      <c r="C26" s="196"/>
      <c r="D26" s="197"/>
      <c r="E26" s="196"/>
      <c r="F26" s="200"/>
      <c r="G26" s="196"/>
      <c r="H26" s="197"/>
      <c r="I26" s="11"/>
      <c r="J26" s="124" t="s">
        <v>0</v>
      </c>
      <c r="K26" s="124" t="s">
        <v>1</v>
      </c>
      <c r="L26" s="124" t="s">
        <v>2</v>
      </c>
      <c r="M26" s="124" t="s">
        <v>3</v>
      </c>
      <c r="N26" s="124" t="s">
        <v>4</v>
      </c>
      <c r="O26" s="124" t="s">
        <v>5</v>
      </c>
      <c r="P26" s="124" t="s">
        <v>11</v>
      </c>
      <c r="Q26" s="124" t="s">
        <v>6</v>
      </c>
      <c r="R26" s="124" t="s">
        <v>7</v>
      </c>
      <c r="S26" s="124" t="s">
        <v>8</v>
      </c>
      <c r="T26" s="124" t="s">
        <v>9</v>
      </c>
      <c r="U26" s="124" t="s">
        <v>10</v>
      </c>
      <c r="V26" s="109"/>
    </row>
    <row r="27" spans="2:22" x14ac:dyDescent="0.2">
      <c r="B27" s="107"/>
      <c r="C27" s="294" t="str">
        <f ca="1">'Item Prices'!D13</f>
        <v>WRENCH</v>
      </c>
      <c r="D27" s="295"/>
      <c r="E27" s="294" cm="1">
        <f t="array" aca="1" ref="E27" ca="1">COUNTIF(INDIRECT(_xlfn.CONCAT("E12:E",MATCH("Order Totals",RIGHT($C:$C,12),0)-7)),$C27)</f>
        <v>1</v>
      </c>
      <c r="F27" s="295"/>
      <c r="G27" s="296">
        <f ca="1">'Item Prices'!G13*E27</f>
        <v>80</v>
      </c>
      <c r="H27" s="297"/>
      <c r="I27" s="16"/>
      <c r="J27" s="188" cm="1">
        <f t="array" aca="1" ref="J27" ca="1">COUNTIFS(INDIRECT(_xlfn.CONCAT("E12:F",MATCH("Order Totals",RIGHT($C:$C,12),0)-7)),$C27,INDIRECT(_xlfn.CONCAT("G12:H",MATCH("Order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Prices'!$G$13</f>
        <v>0</v>
      </c>
      <c r="K27" s="188" cm="1">
        <f t="array" aca="1" ref="K27" ca="1">COUNTIFS(INDIRECT(_xlfn.CONCAT("E12:F",MATCH("Order Totals",RIGHT($C:$C,12),0)-7)),$C27,INDIRECT(_xlfn.CONCAT("G12:H",MATCH("Order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Prices'!$G$13</f>
        <v>0</v>
      </c>
      <c r="L27" s="188" cm="1">
        <f t="array" aca="1" ref="L27" ca="1">COUNTIFS(INDIRECT(_xlfn.CONCAT("E12:F",MATCH("Order Totals",RIGHT($C:$C,12),0)-7)),$C27,INDIRECT(_xlfn.CONCAT("G12:H",MATCH("Order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Prices'!$G$13</f>
        <v>0</v>
      </c>
      <c r="M27" s="188" cm="1">
        <f t="array" aca="1" ref="M27" ca="1">COUNTIFS(INDIRECT(_xlfn.CONCAT("E12:F",MATCH("Order Totals",RIGHT($C:$C,12),0)-7)),$C27,INDIRECT(_xlfn.CONCAT("G12:H",MATCH("Order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Prices'!$G$13</f>
        <v>0</v>
      </c>
      <c r="N27" s="188" cm="1">
        <f t="array" aca="1" ref="N27" ca="1">COUNTIFS(INDIRECT(_xlfn.CONCAT("E12:F",MATCH("Order Totals",RIGHT($C:$C,12),0)-7)),$C27,INDIRECT(_xlfn.CONCAT("G12:H",MATCH("Order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Prices'!$G$13</f>
        <v>0</v>
      </c>
      <c r="O27" s="188" cm="1">
        <f t="array" aca="1" ref="O27" ca="1">COUNTIFS(INDIRECT(_xlfn.CONCAT("E12:F",MATCH("Order Totals",RIGHT($C:$C,12),0)-7)),$C27,INDIRECT(_xlfn.CONCAT("G12:H",MATCH("Order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Prices'!$G$13</f>
        <v>0</v>
      </c>
      <c r="P27" s="188" cm="1">
        <f t="array" aca="1" ref="P27" ca="1">COUNTIFS(INDIRECT(_xlfn.CONCAT("E12:F",MATCH("Order Totals",RIGHT($C:$C,12),0)-7)),$C27,INDIRECT(_xlfn.CONCAT("G12:H",MATCH("Order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Prices'!$G$13</f>
        <v>0</v>
      </c>
      <c r="Q27" s="188" cm="1">
        <f t="array" aca="1" ref="Q27" ca="1">COUNTIFS(INDIRECT(_xlfn.CONCAT("E12:F",MATCH("Order Totals",RIGHT($C:$C,12),0)-7)),$C27,INDIRECT(_xlfn.CONCAT("G12:H",MATCH("Order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Prices'!$G$13</f>
        <v>80</v>
      </c>
      <c r="R27" s="188" cm="1">
        <f t="array" aca="1" ref="R27" ca="1">COUNTIFS(INDIRECT(_xlfn.CONCAT("E12:F",MATCH("Order Totals",RIGHT($C:$C,12),0)-7)),$C27,INDIRECT(_xlfn.CONCAT("G12:H",MATCH("Order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Prices'!$G$13</f>
        <v>0</v>
      </c>
      <c r="S27" s="188" cm="1">
        <f t="array" aca="1" ref="S27" ca="1">COUNTIFS(INDIRECT(_xlfn.CONCAT("E12:F",MATCH("Order Totals",RIGHT($C:$C,12),0)-7)),$C27,INDIRECT(_xlfn.CONCAT("G12:H",MATCH("Order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Prices'!$G$13</f>
        <v>0</v>
      </c>
      <c r="T27" s="188" cm="1">
        <f t="array" aca="1" ref="T27" ca="1">COUNTIFS(INDIRECT(_xlfn.CONCAT("E12:F",MATCH("Order Totals",RIGHT($C:$C,12),0)-7)),$C27,INDIRECT(_xlfn.CONCAT("G12:H",MATCH("Order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Prices'!$G$13</f>
        <v>0</v>
      </c>
      <c r="U27" s="188" cm="1">
        <f t="array" aca="1" ref="U27" ca="1">COUNTIFS(INDIRECT(_xlfn.CONCAT("E12:F",MATCH("Order Totals",RIGHT($C:$C,12),0)-7)),$C27,INDIRECT(_xlfn.CONCAT("G12:H",MATCH("Order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Prices'!$G$13</f>
        <v>0</v>
      </c>
      <c r="V27" s="109"/>
    </row>
    <row r="28" spans="2:22" x14ac:dyDescent="0.2">
      <c r="B28" s="107"/>
      <c r="C28" s="287" t="str">
        <f ca="1">'Item Prices'!D16</f>
        <v>HAMMER</v>
      </c>
      <c r="D28" s="288"/>
      <c r="E28" s="287" cm="1">
        <f t="array" aca="1" ref="E28" ca="1">COUNTIF(INDIRECT(_xlfn.CONCAT("E12:E",MATCH("Order Totals",RIGHT($C:$C,12),0)-7)),$C28)</f>
        <v>0</v>
      </c>
      <c r="F28" s="288"/>
      <c r="G28" s="289">
        <f ca="1">'Item Prices'!G16*E28</f>
        <v>0</v>
      </c>
      <c r="H28" s="290"/>
      <c r="I28" s="16"/>
      <c r="J28" s="189" cm="1">
        <f t="array" aca="1" ref="J28" ca="1">COUNTIFS(INDIRECT(_xlfn.CONCAT("E12:F",MATCH("Order Totals",RIGHT($C:$C,12),0)-7)),$C28,INDIRECT(_xlfn.CONCAT("G12:H",MATCH("Order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28" s="189" cm="1">
        <f t="array" aca="1" ref="K28" ca="1">COUNTIFS(INDIRECT(_xlfn.CONCAT("E12:F",MATCH("Order Totals",RIGHT($C:$C,12),0)-7)),$C28,INDIRECT(_xlfn.CONCAT("G12:H",MATCH("Order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28" s="189" cm="1">
        <f t="array" aca="1" ref="L28" ca="1">COUNTIFS(INDIRECT(_xlfn.CONCAT("E12:F",MATCH("Order Totals",RIGHT($C:$C,12),0)-7)),$C28,INDIRECT(_xlfn.CONCAT("G12:H",MATCH("Order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28" s="189" cm="1">
        <f t="array" aca="1" ref="M28" ca="1">COUNTIFS(INDIRECT(_xlfn.CONCAT("E12:F",MATCH("Order Totals",RIGHT($C:$C,12),0)-7)),$C28,INDIRECT(_xlfn.CONCAT("G12:H",MATCH("Order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28" s="189" cm="1">
        <f t="array" aca="1" ref="N28" ca="1">COUNTIFS(INDIRECT(_xlfn.CONCAT("E12:F",MATCH("Order Totals",RIGHT($C:$C,12),0)-7)),$C28,INDIRECT(_xlfn.CONCAT("G12:H",MATCH("Order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28" s="189" cm="1">
        <f t="array" aca="1" ref="O28" ca="1">COUNTIFS(INDIRECT(_xlfn.CONCAT("E12:F",MATCH("Order Totals",RIGHT($C:$C,12),0)-7)),$C28,INDIRECT(_xlfn.CONCAT("G12:H",MATCH("Order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28" s="189" cm="1">
        <f t="array" aca="1" ref="P28" ca="1">COUNTIFS(INDIRECT(_xlfn.CONCAT("E12:F",MATCH("Order Totals",RIGHT($C:$C,12),0)-7)),$C28,INDIRECT(_xlfn.CONCAT("G12:H",MATCH("Order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28" s="189" cm="1">
        <f t="array" aca="1" ref="Q28" ca="1">COUNTIFS(INDIRECT(_xlfn.CONCAT("E12:F",MATCH("Order Totals",RIGHT($C:$C,12),0)-7)),$C28,INDIRECT(_xlfn.CONCAT("G12:H",MATCH("Order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28" s="189" cm="1">
        <f t="array" aca="1" ref="R28" ca="1">COUNTIFS(INDIRECT(_xlfn.CONCAT("E12:F",MATCH("Order Totals",RIGHT($C:$C,12),0)-7)),$C28,INDIRECT(_xlfn.CONCAT("G12:H",MATCH("Order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28" s="189" cm="1">
        <f t="array" aca="1" ref="S28" ca="1">COUNTIFS(INDIRECT(_xlfn.CONCAT("E12:F",MATCH("Order Totals",RIGHT($C:$C,12),0)-7)),$C28,INDIRECT(_xlfn.CONCAT("G12:H",MATCH("Order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28" s="189" cm="1">
        <f t="array" aca="1" ref="T28" ca="1">COUNTIFS(INDIRECT(_xlfn.CONCAT("E12:F",MATCH("Order Totals",RIGHT($C:$C,12),0)-7)),$C28,INDIRECT(_xlfn.CONCAT("G12:H",MATCH("Order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28" s="189" cm="1">
        <f t="array" aca="1" ref="U28" ca="1">COUNTIFS(INDIRECT(_xlfn.CONCAT("E12:F",MATCH("Order Totals",RIGHT($C:$C,12),0)-7)),$C28,INDIRECT(_xlfn.CONCAT("G12:H",MATCH("Order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28" s="109"/>
    </row>
    <row r="29" spans="2:22" x14ac:dyDescent="0.2">
      <c r="B29" s="107"/>
      <c r="C29" s="287" t="str">
        <f ca="1">'Item Prices'!D19</f>
        <v>BUZZSAW</v>
      </c>
      <c r="D29" s="288"/>
      <c r="E29" s="287" cm="1">
        <f t="array" aca="1" ref="E29" ca="1">COUNTIF(INDIRECT(_xlfn.CONCAT("E12:E",MATCH("Order Totals",RIGHT($C:$C,12),0)-7)),$C29)</f>
        <v>0</v>
      </c>
      <c r="F29" s="288"/>
      <c r="G29" s="289">
        <f ca="1">'Item Prices'!G19*E29</f>
        <v>0</v>
      </c>
      <c r="H29" s="290"/>
      <c r="I29" s="16"/>
      <c r="J29" s="189" cm="1">
        <f t="array" aca="1" ref="J29" ca="1">COUNTIFS(INDIRECT(_xlfn.CONCAT("E12:F",MATCH("Order Totals",RIGHT($C:$C,12),0)-7)),$C29,INDIRECT(_xlfn.CONCAT("G12:H",MATCH("Order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29" s="189" cm="1">
        <f t="array" aca="1" ref="K29" ca="1">COUNTIFS(INDIRECT(_xlfn.CONCAT("E12:F",MATCH("Order Totals",RIGHT($C:$C,12),0)-7)),$C29,INDIRECT(_xlfn.CONCAT("G12:H",MATCH("Order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29" s="189" cm="1">
        <f t="array" aca="1" ref="L29" ca="1">COUNTIFS(INDIRECT(_xlfn.CONCAT("E12:F",MATCH("Order Totals",RIGHT($C:$C,12),0)-7)),$C29,INDIRECT(_xlfn.CONCAT("G12:H",MATCH("Order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29" s="189" cm="1">
        <f t="array" aca="1" ref="M29" ca="1">COUNTIFS(INDIRECT(_xlfn.CONCAT("E12:F",MATCH("Order Totals",RIGHT($C:$C,12),0)-7)),$C29,INDIRECT(_xlfn.CONCAT("G12:H",MATCH("Order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29" s="189" cm="1">
        <f t="array" aca="1" ref="N29" ca="1">COUNTIFS(INDIRECT(_xlfn.CONCAT("E12:F",MATCH("Order Totals",RIGHT($C:$C,12),0)-7)),$C29,INDIRECT(_xlfn.CONCAT("G12:H",MATCH("Order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29" s="189" cm="1">
        <f t="array" aca="1" ref="O29" ca="1">COUNTIFS(INDIRECT(_xlfn.CONCAT("E12:F",MATCH("Order Totals",RIGHT($C:$C,12),0)-7)),$C29,INDIRECT(_xlfn.CONCAT("G12:H",MATCH("Order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29" s="189" cm="1">
        <f t="array" aca="1" ref="P29" ca="1">COUNTIFS(INDIRECT(_xlfn.CONCAT("E12:F",MATCH("Order Totals",RIGHT($C:$C,12),0)-7)),$C29,INDIRECT(_xlfn.CONCAT("G12:H",MATCH("Order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29" s="189" cm="1">
        <f t="array" aca="1" ref="Q29" ca="1">COUNTIFS(INDIRECT(_xlfn.CONCAT("E12:F",MATCH("Order Totals",RIGHT($C:$C,12),0)-7)),$C29,INDIRECT(_xlfn.CONCAT("G12:H",MATCH("Order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29" s="189" cm="1">
        <f t="array" aca="1" ref="R29" ca="1">COUNTIFS(INDIRECT(_xlfn.CONCAT("E12:F",MATCH("Order Totals",RIGHT($C:$C,12),0)-7)),$C29,INDIRECT(_xlfn.CONCAT("G12:H",MATCH("Order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29" s="189" cm="1">
        <f t="array" aca="1" ref="S29" ca="1">COUNTIFS(INDIRECT(_xlfn.CONCAT("E12:F",MATCH("Order Totals",RIGHT($C:$C,12),0)-7)),$C29,INDIRECT(_xlfn.CONCAT("G12:H",MATCH("Order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29" s="189" cm="1">
        <f t="array" aca="1" ref="T29" ca="1">COUNTIFS(INDIRECT(_xlfn.CONCAT("E12:F",MATCH("Order Totals",RIGHT($C:$C,12),0)-7)),$C29,INDIRECT(_xlfn.CONCAT("G12:H",MATCH("Order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29" s="189" cm="1">
        <f t="array" aca="1" ref="U29" ca="1">COUNTIFS(INDIRECT(_xlfn.CONCAT("E12:F",MATCH("Order Totals",RIGHT($C:$C,12),0)-7)),$C29,INDIRECT(_xlfn.CONCAT("G12:H",MATCH("Order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29" s="109"/>
    </row>
    <row r="30" spans="2:22" x14ac:dyDescent="0.2">
      <c r="B30" s="107"/>
      <c r="C30" s="287" t="str">
        <f ca="1">'Item Prices'!D22</f>
        <v>SCREWDRIVER</v>
      </c>
      <c r="D30" s="288"/>
      <c r="E30" s="287" cm="1">
        <f t="array" aca="1" ref="E30" ca="1">COUNTIF(INDIRECT(_xlfn.CONCAT("E12:E",MATCH("Order Totals",RIGHT($C:$C,12),0)-7)),$C30)</f>
        <v>0</v>
      </c>
      <c r="F30" s="288"/>
      <c r="G30" s="289">
        <f ca="1">'Item Prices'!G22*E30</f>
        <v>0</v>
      </c>
      <c r="H30" s="290"/>
      <c r="I30" s="16"/>
      <c r="J30" s="189" cm="1">
        <f t="array" aca="1" ref="J30" ca="1">COUNTIFS(INDIRECT(_xlfn.CONCAT("E12:F",MATCH("Order Totals",RIGHT($C:$C,12),0)-7)),$C30,INDIRECT(_xlfn.CONCAT("G12:H",MATCH("Order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0" s="189" cm="1">
        <f t="array" aca="1" ref="K30" ca="1">COUNTIFS(INDIRECT(_xlfn.CONCAT("E12:F",MATCH("Order Totals",RIGHT($C:$C,12),0)-7)),$C30,INDIRECT(_xlfn.CONCAT("G12:H",MATCH("Order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0" s="189" cm="1">
        <f t="array" aca="1" ref="L30" ca="1">COUNTIFS(INDIRECT(_xlfn.CONCAT("E12:F",MATCH("Order Totals",RIGHT($C:$C,12),0)-7)),$C30,INDIRECT(_xlfn.CONCAT("G12:H",MATCH("Order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0" s="189" cm="1">
        <f t="array" aca="1" ref="M30" ca="1">COUNTIFS(INDIRECT(_xlfn.CONCAT("E12:F",MATCH("Order Totals",RIGHT($C:$C,12),0)-7)),$C30,INDIRECT(_xlfn.CONCAT("G12:H",MATCH("Order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0" s="189" cm="1">
        <f t="array" aca="1" ref="N30" ca="1">COUNTIFS(INDIRECT(_xlfn.CONCAT("E12:F",MATCH("Order Totals",RIGHT($C:$C,12),0)-7)),$C30,INDIRECT(_xlfn.CONCAT("G12:H",MATCH("Order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0" s="189" cm="1">
        <f t="array" aca="1" ref="O30" ca="1">COUNTIFS(INDIRECT(_xlfn.CONCAT("E12:F",MATCH("Order Totals",RIGHT($C:$C,12),0)-7)),$C30,INDIRECT(_xlfn.CONCAT("G12:H",MATCH("Order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0" s="189" cm="1">
        <f t="array" aca="1" ref="P30" ca="1">COUNTIFS(INDIRECT(_xlfn.CONCAT("E12:F",MATCH("Order Totals",RIGHT($C:$C,12),0)-7)),$C30,INDIRECT(_xlfn.CONCAT("G12:H",MATCH("Order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0" s="189" cm="1">
        <f t="array" aca="1" ref="Q30" ca="1">COUNTIFS(INDIRECT(_xlfn.CONCAT("E12:F",MATCH("Order Totals",RIGHT($C:$C,12),0)-7)),$C30,INDIRECT(_xlfn.CONCAT("G12:H",MATCH("Order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0" s="189" cm="1">
        <f t="array" aca="1" ref="R30" ca="1">COUNTIFS(INDIRECT(_xlfn.CONCAT("E12:F",MATCH("Order Totals",RIGHT($C:$C,12),0)-7)),$C30,INDIRECT(_xlfn.CONCAT("G12:H",MATCH("Order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0" s="189" cm="1">
        <f t="array" aca="1" ref="S30" ca="1">COUNTIFS(INDIRECT(_xlfn.CONCAT("E12:F",MATCH("Order Totals",RIGHT($C:$C,12),0)-7)),$C30,INDIRECT(_xlfn.CONCAT("G12:H",MATCH("Order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0" s="189" cm="1">
        <f t="array" aca="1" ref="T30" ca="1">COUNTIFS(INDIRECT(_xlfn.CONCAT("E12:F",MATCH("Order Totals",RIGHT($C:$C,12),0)-7)),$C30,INDIRECT(_xlfn.CONCAT("G12:H",MATCH("Order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0" s="189" cm="1">
        <f t="array" aca="1" ref="U30" ca="1">COUNTIFS(INDIRECT(_xlfn.CONCAT("E12:F",MATCH("Order Totals",RIGHT($C:$C,12),0)-7)),$C30,INDIRECT(_xlfn.CONCAT("G12:H",MATCH("Order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0" s="109"/>
    </row>
    <row r="31" spans="2:22" x14ac:dyDescent="0.2">
      <c r="B31" s="107"/>
      <c r="C31" s="287" t="str">
        <f ca="1">'Item Prices'!D25</f>
        <v>NAILS</v>
      </c>
      <c r="D31" s="288"/>
      <c r="E31" s="287" cm="1">
        <f t="array" aca="1" ref="E31" ca="1">COUNTIF(INDIRECT(_xlfn.CONCAT("E12:E",MATCH("Order Totals",RIGHT($C:$C,12),0)-7)),$C31)</f>
        <v>0</v>
      </c>
      <c r="F31" s="288"/>
      <c r="G31" s="289">
        <f ca="1">'Item Prices'!G25*E31</f>
        <v>0</v>
      </c>
      <c r="H31" s="290"/>
      <c r="I31" s="16"/>
      <c r="J31" s="189" cm="1">
        <f t="array" aca="1" ref="J31" ca="1">COUNTIFS(INDIRECT(_xlfn.CONCAT("E12:F",MATCH("Order Totals",RIGHT($C:$C,12),0)-7)),$C31,INDIRECT(_xlfn.CONCAT("G12:H",MATCH("Order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1" s="189" cm="1">
        <f t="array" aca="1" ref="K31" ca="1">COUNTIFS(INDIRECT(_xlfn.CONCAT("E12:F",MATCH("Order Totals",RIGHT($C:$C,12),0)-7)),$C31,INDIRECT(_xlfn.CONCAT("G12:H",MATCH("Order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1" s="189" cm="1">
        <f t="array" aca="1" ref="L31" ca="1">COUNTIFS(INDIRECT(_xlfn.CONCAT("E12:F",MATCH("Order Totals",RIGHT($C:$C,12),0)-7)),$C31,INDIRECT(_xlfn.CONCAT("G12:H",MATCH("Order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1" s="189" cm="1">
        <f t="array" aca="1" ref="M31" ca="1">COUNTIFS(INDIRECT(_xlfn.CONCAT("E12:F",MATCH("Order Totals",RIGHT($C:$C,12),0)-7)),$C31,INDIRECT(_xlfn.CONCAT("G12:H",MATCH("Order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1" s="189" cm="1">
        <f t="array" aca="1" ref="N31" ca="1">COUNTIFS(INDIRECT(_xlfn.CONCAT("E12:F",MATCH("Order Totals",RIGHT($C:$C,12),0)-7)),$C31,INDIRECT(_xlfn.CONCAT("G12:H",MATCH("Order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1" s="189" cm="1">
        <f t="array" aca="1" ref="O31" ca="1">COUNTIFS(INDIRECT(_xlfn.CONCAT("E12:F",MATCH("Order Totals",RIGHT($C:$C,12),0)-7)),$C31,INDIRECT(_xlfn.CONCAT("G12:H",MATCH("Order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1" s="189" cm="1">
        <f t="array" aca="1" ref="P31" ca="1">COUNTIFS(INDIRECT(_xlfn.CONCAT("E12:F",MATCH("Order Totals",RIGHT($C:$C,12),0)-7)),$C31,INDIRECT(_xlfn.CONCAT("G12:H",MATCH("Order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1" s="189" cm="1">
        <f t="array" aca="1" ref="Q31" ca="1">COUNTIFS(INDIRECT(_xlfn.CONCAT("E12:F",MATCH("Order Totals",RIGHT($C:$C,12),0)-7)),$C31,INDIRECT(_xlfn.CONCAT("G12:H",MATCH("Order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1" s="189" cm="1">
        <f t="array" aca="1" ref="R31" ca="1">COUNTIFS(INDIRECT(_xlfn.CONCAT("E12:F",MATCH("Order Totals",RIGHT($C:$C,12),0)-7)),$C31,INDIRECT(_xlfn.CONCAT("G12:H",MATCH("Order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1" s="189" cm="1">
        <f t="array" aca="1" ref="S31" ca="1">COUNTIFS(INDIRECT(_xlfn.CONCAT("E12:F",MATCH("Order Totals",RIGHT($C:$C,12),0)-7)),$C31,INDIRECT(_xlfn.CONCAT("G12:H",MATCH("Order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1" s="189" cm="1">
        <f t="array" aca="1" ref="T31" ca="1">COUNTIFS(INDIRECT(_xlfn.CONCAT("E12:F",MATCH("Order Totals",RIGHT($C:$C,12),0)-7)),$C31,INDIRECT(_xlfn.CONCAT("G12:H",MATCH("Order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1" s="189" cm="1">
        <f t="array" aca="1" ref="U31" ca="1">COUNTIFS(INDIRECT(_xlfn.CONCAT("E12:F",MATCH("Order Totals",RIGHT($C:$C,12),0)-7)),$C31,INDIRECT(_xlfn.CONCAT("G12:H",MATCH("Order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1" s="109"/>
    </row>
    <row r="32" spans="2:22" ht="17" thickBot="1" x14ac:dyDescent="0.25">
      <c r="B32" s="107"/>
      <c r="C32" s="287" t="str">
        <f ca="1">'Item Prices'!D28</f>
        <v>MEASURING TAPE</v>
      </c>
      <c r="D32" s="288"/>
      <c r="E32" s="287" cm="1">
        <f t="array" aca="1" ref="E32" ca="1">COUNTIF(INDIRECT(_xlfn.CONCAT("E12:E",MATCH("Order Totals",RIGHT($C:$C,12),0)-7)),$C32)</f>
        <v>0</v>
      </c>
      <c r="F32" s="288"/>
      <c r="G32" s="289">
        <f ca="1">'Item Prices'!G28*E32</f>
        <v>0</v>
      </c>
      <c r="H32" s="290"/>
      <c r="I32" s="17"/>
      <c r="J32" s="189" cm="1">
        <f t="array" aca="1" ref="J32" ca="1">COUNTIFS(INDIRECT(_xlfn.CONCAT("E12:F",MATCH("Order Totals",RIGHT($C:$C,12),0)-7)),$C32,INDIRECT(_xlfn.CONCAT("G12:H",MATCH("Order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2" s="189" cm="1">
        <f t="array" aca="1" ref="K32" ca="1">COUNTIFS(INDIRECT(_xlfn.CONCAT("E12:F",MATCH("Order Totals",RIGHT($C:$C,12),0)-7)),$C32,INDIRECT(_xlfn.CONCAT("G12:H",MATCH("Order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2" s="189" cm="1">
        <f t="array" aca="1" ref="L32" ca="1">COUNTIFS(INDIRECT(_xlfn.CONCAT("E12:F",MATCH("Order Totals",RIGHT($C:$C,12),0)-7)),$C32,INDIRECT(_xlfn.CONCAT("G12:H",MATCH("Order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2" s="189" cm="1">
        <f t="array" aca="1" ref="M32" ca="1">COUNTIFS(INDIRECT(_xlfn.CONCAT("E12:F",MATCH("Order Totals",RIGHT($C:$C,12),0)-7)),$C32,INDIRECT(_xlfn.CONCAT("G12:H",MATCH("Order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2" s="189" cm="1">
        <f t="array" aca="1" ref="N32" ca="1">COUNTIFS(INDIRECT(_xlfn.CONCAT("E12:F",MATCH("Order Totals",RIGHT($C:$C,12),0)-7)),$C32,INDIRECT(_xlfn.CONCAT("G12:H",MATCH("Order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2" s="189" cm="1">
        <f t="array" aca="1" ref="O32" ca="1">COUNTIFS(INDIRECT(_xlfn.CONCAT("E12:F",MATCH("Order Totals",RIGHT($C:$C,12),0)-7)),$C32,INDIRECT(_xlfn.CONCAT("G12:H",MATCH("Order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2" s="189" cm="1">
        <f t="array" aca="1" ref="P32" ca="1">COUNTIFS(INDIRECT(_xlfn.CONCAT("E12:F",MATCH("Order Totals",RIGHT($C:$C,12),0)-7)),$C32,INDIRECT(_xlfn.CONCAT("G12:H",MATCH("Order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2" s="189" cm="1">
        <f t="array" aca="1" ref="Q32" ca="1">COUNTIFS(INDIRECT(_xlfn.CONCAT("E12:F",MATCH("Order Totals",RIGHT($C:$C,12),0)-7)),$C32,INDIRECT(_xlfn.CONCAT("G12:H",MATCH("Order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2" s="189" cm="1">
        <f t="array" aca="1" ref="R32" ca="1">COUNTIFS(INDIRECT(_xlfn.CONCAT("E12:F",MATCH("Order Totals",RIGHT($C:$C,12),0)-7)),$C32,INDIRECT(_xlfn.CONCAT("G12:H",MATCH("Order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2" s="189" cm="1">
        <f t="array" aca="1" ref="S32" ca="1">COUNTIFS(INDIRECT(_xlfn.CONCAT("E12:F",MATCH("Order Totals",RIGHT($C:$C,12),0)-7)),$C32,INDIRECT(_xlfn.CONCAT("G12:H",MATCH("Order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2" s="189" cm="1">
        <f t="array" aca="1" ref="T32" ca="1">COUNTIFS(INDIRECT(_xlfn.CONCAT("E12:F",MATCH("Order Totals",RIGHT($C:$C,12),0)-7)),$C32,INDIRECT(_xlfn.CONCAT("G12:H",MATCH("Order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2" s="189" cm="1">
        <f t="array" aca="1" ref="U32" ca="1">COUNTIFS(INDIRECT(_xlfn.CONCAT("E12:F",MATCH("Order Totals",RIGHT($C:$C,12),0)-7)),$C32,INDIRECT(_xlfn.CONCAT("G12:H",MATCH("Order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2" s="109"/>
    </row>
    <row r="33" spans="2:22" x14ac:dyDescent="0.2">
      <c r="B33" s="10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09"/>
    </row>
    <row r="34" spans="2:22" ht="17" thickBot="1" x14ac:dyDescent="0.25">
      <c r="B34" s="110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2"/>
    </row>
    <row r="35" spans="2:22" ht="18" thickTop="1" thickBot="1" x14ac:dyDescent="0.25">
      <c r="B35" s="4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6"/>
    </row>
  </sheetData>
  <sheetProtection sheet="1" objects="1" scenarios="1" selectLockedCells="1"/>
  <mergeCells count="30">
    <mergeCell ref="C32:D32"/>
    <mergeCell ref="E32:F32"/>
    <mergeCell ref="G32:H32"/>
    <mergeCell ref="C30:D30"/>
    <mergeCell ref="E30:F30"/>
    <mergeCell ref="G30:H30"/>
    <mergeCell ref="C31:D31"/>
    <mergeCell ref="E31:F31"/>
    <mergeCell ref="G31:H31"/>
    <mergeCell ref="J25:U25"/>
    <mergeCell ref="C28:D28"/>
    <mergeCell ref="E28:F28"/>
    <mergeCell ref="G28:H28"/>
    <mergeCell ref="C29:D29"/>
    <mergeCell ref="E29:F29"/>
    <mergeCell ref="G29:H29"/>
    <mergeCell ref="C27:D27"/>
    <mergeCell ref="E27:F27"/>
    <mergeCell ref="G27:H27"/>
    <mergeCell ref="C19:H23"/>
    <mergeCell ref="C25:D26"/>
    <mergeCell ref="E25:F26"/>
    <mergeCell ref="G25:H26"/>
    <mergeCell ref="C4:H8"/>
    <mergeCell ref="C10:D11"/>
    <mergeCell ref="E10:F11"/>
    <mergeCell ref="G10:H11"/>
    <mergeCell ref="C12:D12"/>
    <mergeCell ref="E12:F12"/>
    <mergeCell ref="G12:H12"/>
  </mergeCells>
  <conditionalFormatting sqref="J12:JJ12">
    <cfRule type="expression" dxfId="1" priority="1" stopIfTrue="1">
      <formula>IF(J$11=$G12,TRUE,FALSE)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0DD97-42C0-F749-B50E-EDD44AEA1926}">
  <sheetPr codeName="Sheet6"/>
  <dimension ref="B3:JK35"/>
  <sheetViews>
    <sheetView showGridLines="0" zoomScale="75" zoomScaleNormal="89" workbookViewId="0">
      <selection activeCell="GD25" sqref="GD25"/>
    </sheetView>
  </sheetViews>
  <sheetFormatPr baseColWidth="10" defaultRowHeight="16" x14ac:dyDescent="0.2"/>
  <cols>
    <col min="9" max="9" width="4.33203125" customWidth="1"/>
  </cols>
  <sheetData>
    <row r="3" spans="2:271" ht="17" customHeight="1" thickBot="1" x14ac:dyDescent="0.25"/>
    <row r="4" spans="2:271" ht="15" customHeight="1" x14ac:dyDescent="0.2">
      <c r="B4" s="104"/>
      <c r="C4" s="298" t="s">
        <v>43</v>
      </c>
      <c r="D4" s="298"/>
      <c r="E4" s="298"/>
      <c r="F4" s="298"/>
      <c r="G4" s="298"/>
      <c r="H4" s="298"/>
      <c r="I4" s="180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7"/>
      <c r="BC4" s="117"/>
      <c r="BD4" s="117"/>
      <c r="BE4" s="117"/>
      <c r="BF4" s="117"/>
      <c r="BG4" s="117"/>
      <c r="BH4" s="117"/>
      <c r="BI4" s="117"/>
      <c r="BJ4" s="117"/>
      <c r="BK4" s="117"/>
      <c r="BL4" s="117"/>
      <c r="BM4" s="117"/>
      <c r="BN4" s="117"/>
      <c r="BO4" s="117"/>
      <c r="BP4" s="117"/>
      <c r="BQ4" s="117"/>
      <c r="BR4" s="117"/>
      <c r="BS4" s="117"/>
      <c r="BT4" s="117"/>
      <c r="BU4" s="117"/>
      <c r="BV4" s="117"/>
      <c r="BW4" s="117"/>
      <c r="BX4" s="117"/>
      <c r="BY4" s="117"/>
      <c r="BZ4" s="117"/>
      <c r="CA4" s="117"/>
      <c r="CB4" s="117"/>
      <c r="CC4" s="117"/>
      <c r="CD4" s="117"/>
      <c r="CE4" s="117"/>
      <c r="CF4" s="117"/>
      <c r="CG4" s="117"/>
      <c r="CH4" s="117"/>
      <c r="CI4" s="117"/>
      <c r="CJ4" s="117"/>
      <c r="CK4" s="117"/>
      <c r="CL4" s="117"/>
      <c r="CM4" s="117"/>
      <c r="CN4" s="117"/>
      <c r="CO4" s="117"/>
      <c r="CP4" s="117"/>
      <c r="CQ4" s="117"/>
      <c r="CR4" s="117"/>
      <c r="CS4" s="117"/>
      <c r="CT4" s="117"/>
      <c r="CU4" s="117"/>
      <c r="CV4" s="117"/>
      <c r="CW4" s="117"/>
      <c r="CX4" s="117"/>
      <c r="CY4" s="117"/>
      <c r="CZ4" s="117"/>
      <c r="DA4" s="117"/>
      <c r="DB4" s="117"/>
      <c r="DC4" s="117"/>
      <c r="DD4" s="117"/>
      <c r="DE4" s="117"/>
      <c r="DF4" s="117"/>
      <c r="DG4" s="117"/>
      <c r="DH4" s="117"/>
      <c r="DI4" s="117"/>
      <c r="DJ4" s="117"/>
      <c r="DK4" s="117"/>
      <c r="DL4" s="117"/>
      <c r="DM4" s="117"/>
      <c r="DN4" s="117"/>
      <c r="DO4" s="117"/>
      <c r="DP4" s="117"/>
      <c r="DQ4" s="117"/>
      <c r="DR4" s="117"/>
      <c r="DS4" s="117"/>
      <c r="DT4" s="117"/>
      <c r="DU4" s="117"/>
      <c r="DV4" s="117"/>
      <c r="DW4" s="117"/>
      <c r="DX4" s="117"/>
      <c r="DY4" s="117"/>
      <c r="DZ4" s="117"/>
      <c r="EA4" s="117"/>
      <c r="EB4" s="117"/>
      <c r="EC4" s="117"/>
      <c r="ED4" s="117"/>
      <c r="EE4" s="117"/>
      <c r="EF4" s="117"/>
      <c r="EG4" s="117"/>
      <c r="EH4" s="117"/>
      <c r="EI4" s="117"/>
      <c r="EJ4" s="117"/>
      <c r="EK4" s="117"/>
      <c r="EL4" s="117"/>
      <c r="EM4" s="117"/>
      <c r="EN4" s="117"/>
      <c r="EO4" s="117"/>
      <c r="EP4" s="117"/>
      <c r="EQ4" s="117"/>
      <c r="ER4" s="117"/>
      <c r="ES4" s="117"/>
      <c r="ET4" s="117"/>
      <c r="EU4" s="117"/>
      <c r="EV4" s="117"/>
      <c r="EW4" s="117"/>
      <c r="EX4" s="117"/>
      <c r="EY4" s="117"/>
      <c r="EZ4" s="117"/>
      <c r="FA4" s="117"/>
      <c r="FB4" s="117"/>
      <c r="FC4" s="117"/>
      <c r="FD4" s="117"/>
      <c r="FE4" s="117"/>
      <c r="FF4" s="117"/>
      <c r="FG4" s="117"/>
      <c r="FH4" s="117"/>
      <c r="FI4" s="117"/>
      <c r="FJ4" s="117"/>
      <c r="FK4" s="117"/>
      <c r="FL4" s="117"/>
      <c r="FM4" s="117"/>
      <c r="FN4" s="117"/>
      <c r="FO4" s="117"/>
      <c r="FP4" s="117"/>
      <c r="FQ4" s="117"/>
      <c r="FR4" s="117"/>
      <c r="FS4" s="117"/>
      <c r="FT4" s="117"/>
      <c r="FU4" s="117"/>
      <c r="FV4" s="117"/>
      <c r="FW4" s="117"/>
      <c r="FX4" s="117"/>
      <c r="FY4" s="117"/>
      <c r="FZ4" s="117"/>
      <c r="GA4" s="117"/>
      <c r="GB4" s="117"/>
      <c r="GC4" s="117"/>
      <c r="GD4" s="117"/>
      <c r="GE4" s="117"/>
      <c r="GF4" s="117"/>
      <c r="GG4" s="117"/>
      <c r="GH4" s="117"/>
      <c r="GI4" s="117"/>
      <c r="GJ4" s="117"/>
      <c r="GK4" s="117"/>
      <c r="GL4" s="117"/>
      <c r="GM4" s="117"/>
      <c r="GN4" s="117"/>
      <c r="GO4" s="117"/>
      <c r="GP4" s="117"/>
      <c r="GQ4" s="117"/>
      <c r="GR4" s="117"/>
      <c r="GS4" s="117"/>
      <c r="GT4" s="117"/>
      <c r="GU4" s="117"/>
      <c r="GV4" s="117"/>
      <c r="GW4" s="117"/>
      <c r="GX4" s="117"/>
      <c r="GY4" s="117"/>
      <c r="GZ4" s="117"/>
      <c r="HA4" s="117"/>
      <c r="HB4" s="117"/>
      <c r="HC4" s="117"/>
      <c r="HD4" s="117"/>
      <c r="HE4" s="117"/>
      <c r="HF4" s="117"/>
      <c r="HG4" s="117"/>
      <c r="HH4" s="117"/>
      <c r="HI4" s="117"/>
      <c r="HJ4" s="117"/>
      <c r="HK4" s="117"/>
      <c r="HL4" s="117"/>
      <c r="HM4" s="117"/>
      <c r="HN4" s="117"/>
      <c r="HO4" s="117"/>
      <c r="HP4" s="117"/>
      <c r="HQ4" s="117"/>
      <c r="HR4" s="117"/>
      <c r="HS4" s="117"/>
      <c r="HT4" s="117"/>
      <c r="HU4" s="117"/>
      <c r="HV4" s="117"/>
      <c r="HW4" s="117"/>
      <c r="HX4" s="117"/>
      <c r="HY4" s="117"/>
      <c r="HZ4" s="117"/>
      <c r="IA4" s="117"/>
      <c r="IB4" s="117"/>
      <c r="IC4" s="117"/>
      <c r="ID4" s="117"/>
      <c r="IE4" s="117"/>
      <c r="IF4" s="117"/>
      <c r="IG4" s="117"/>
      <c r="IH4" s="117"/>
      <c r="II4" s="117"/>
      <c r="IJ4" s="117"/>
      <c r="IK4" s="117"/>
      <c r="IL4" s="117"/>
      <c r="IM4" s="117"/>
      <c r="IN4" s="117"/>
      <c r="IO4" s="117"/>
      <c r="IP4" s="117"/>
      <c r="IQ4" s="117"/>
      <c r="IR4" s="117"/>
      <c r="IS4" s="117"/>
      <c r="IT4" s="117"/>
      <c r="IU4" s="117"/>
      <c r="IV4" s="117"/>
      <c r="IW4" s="117"/>
      <c r="IX4" s="117"/>
      <c r="IY4" s="117"/>
      <c r="IZ4" s="117"/>
      <c r="JA4" s="117"/>
      <c r="JB4" s="117"/>
      <c r="JC4" s="117"/>
      <c r="JD4" s="117"/>
      <c r="JE4" s="117"/>
      <c r="JF4" s="117"/>
      <c r="JG4" s="117"/>
      <c r="JH4" s="117"/>
      <c r="JI4" s="117"/>
      <c r="JJ4" s="117"/>
      <c r="JK4" s="106"/>
    </row>
    <row r="5" spans="2:271" ht="15" customHeight="1" x14ac:dyDescent="0.2">
      <c r="B5" s="107"/>
      <c r="C5" s="299"/>
      <c r="D5" s="299"/>
      <c r="E5" s="299"/>
      <c r="F5" s="299"/>
      <c r="G5" s="299"/>
      <c r="H5" s="299"/>
      <c r="I5" s="181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  <c r="BA5" s="113"/>
      <c r="BB5" s="113"/>
      <c r="BC5" s="113"/>
      <c r="BD5" s="113"/>
      <c r="BE5" s="113"/>
      <c r="BF5" s="113"/>
      <c r="BG5" s="113"/>
      <c r="BH5" s="113"/>
      <c r="BI5" s="113"/>
      <c r="BJ5" s="113"/>
      <c r="BK5" s="113"/>
      <c r="BL5" s="113"/>
      <c r="BM5" s="113"/>
      <c r="BN5" s="113"/>
      <c r="BO5" s="113"/>
      <c r="BP5" s="113"/>
      <c r="BQ5" s="113"/>
      <c r="BR5" s="113"/>
      <c r="BS5" s="113"/>
      <c r="BT5" s="113"/>
      <c r="BU5" s="113"/>
      <c r="BV5" s="113"/>
      <c r="BW5" s="113"/>
      <c r="BX5" s="113"/>
      <c r="BY5" s="113"/>
      <c r="BZ5" s="113"/>
      <c r="CA5" s="113"/>
      <c r="CB5" s="113"/>
      <c r="CC5" s="113"/>
      <c r="CD5" s="113"/>
      <c r="CE5" s="113"/>
      <c r="CF5" s="113"/>
      <c r="CG5" s="113"/>
      <c r="CH5" s="113"/>
      <c r="CI5" s="113"/>
      <c r="CJ5" s="113"/>
      <c r="CK5" s="113"/>
      <c r="CL5" s="113"/>
      <c r="CM5" s="113"/>
      <c r="CN5" s="113"/>
      <c r="CO5" s="113"/>
      <c r="CP5" s="113"/>
      <c r="CQ5" s="113"/>
      <c r="CR5" s="113"/>
      <c r="CS5" s="113"/>
      <c r="CT5" s="113"/>
      <c r="CU5" s="113"/>
      <c r="CV5" s="113"/>
      <c r="CW5" s="113"/>
      <c r="CX5" s="113"/>
      <c r="CY5" s="113"/>
      <c r="CZ5" s="113"/>
      <c r="DA5" s="113"/>
      <c r="DB5" s="113"/>
      <c r="DC5" s="113"/>
      <c r="DD5" s="113"/>
      <c r="DE5" s="113"/>
      <c r="DF5" s="113"/>
      <c r="DG5" s="113"/>
      <c r="DH5" s="113"/>
      <c r="DI5" s="113"/>
      <c r="DJ5" s="113"/>
      <c r="DK5" s="113"/>
      <c r="DL5" s="113"/>
      <c r="DM5" s="113"/>
      <c r="DN5" s="113"/>
      <c r="DO5" s="113"/>
      <c r="DP5" s="113"/>
      <c r="DQ5" s="113"/>
      <c r="DR5" s="113"/>
      <c r="DS5" s="113"/>
      <c r="DT5" s="113"/>
      <c r="DU5" s="113"/>
      <c r="DV5" s="113"/>
      <c r="DW5" s="113"/>
      <c r="DX5" s="113"/>
      <c r="DY5" s="113"/>
      <c r="DZ5" s="113"/>
      <c r="EA5" s="113"/>
      <c r="EB5" s="113"/>
      <c r="EC5" s="113"/>
      <c r="ED5" s="113"/>
      <c r="EE5" s="113"/>
      <c r="EF5" s="113"/>
      <c r="EG5" s="113"/>
      <c r="EH5" s="113"/>
      <c r="EI5" s="113"/>
      <c r="EJ5" s="113"/>
      <c r="EK5" s="113"/>
      <c r="EL5" s="113"/>
      <c r="EM5" s="113"/>
      <c r="EN5" s="113"/>
      <c r="EO5" s="113"/>
      <c r="EP5" s="113"/>
      <c r="EQ5" s="113"/>
      <c r="ER5" s="113"/>
      <c r="ES5" s="113"/>
      <c r="ET5" s="113"/>
      <c r="EU5" s="113"/>
      <c r="EV5" s="113"/>
      <c r="EW5" s="113"/>
      <c r="EX5" s="113"/>
      <c r="EY5" s="113"/>
      <c r="EZ5" s="113"/>
      <c r="FA5" s="113"/>
      <c r="FB5" s="113"/>
      <c r="FC5" s="113"/>
      <c r="FD5" s="113"/>
      <c r="FE5" s="113"/>
      <c r="FF5" s="113"/>
      <c r="FG5" s="113"/>
      <c r="FH5" s="113"/>
      <c r="FI5" s="113"/>
      <c r="FJ5" s="113"/>
      <c r="FK5" s="113"/>
      <c r="FL5" s="113"/>
      <c r="FM5" s="113"/>
      <c r="FN5" s="113"/>
      <c r="FO5" s="113"/>
      <c r="FP5" s="113"/>
      <c r="FQ5" s="113"/>
      <c r="FR5" s="113"/>
      <c r="FS5" s="113"/>
      <c r="FT5" s="113"/>
      <c r="FU5" s="113"/>
      <c r="FV5" s="113"/>
      <c r="FW5" s="113"/>
      <c r="FX5" s="113"/>
      <c r="FY5" s="113"/>
      <c r="FZ5" s="113"/>
      <c r="GA5" s="113"/>
      <c r="GB5" s="113"/>
      <c r="GC5" s="113"/>
      <c r="GD5" s="113"/>
      <c r="GE5" s="113"/>
      <c r="GF5" s="113"/>
      <c r="GG5" s="113"/>
      <c r="GH5" s="113"/>
      <c r="GI5" s="113"/>
      <c r="GJ5" s="113"/>
      <c r="GK5" s="113"/>
      <c r="GL5" s="113"/>
      <c r="GM5" s="113"/>
      <c r="GN5" s="113"/>
      <c r="GO5" s="113"/>
      <c r="GP5" s="113"/>
      <c r="GQ5" s="113"/>
      <c r="GR5" s="113"/>
      <c r="GS5" s="113"/>
      <c r="GT5" s="113"/>
      <c r="GU5" s="113"/>
      <c r="GV5" s="113"/>
      <c r="GW5" s="113"/>
      <c r="GX5" s="113"/>
      <c r="GY5" s="113"/>
      <c r="GZ5" s="113"/>
      <c r="HA5" s="113"/>
      <c r="HB5" s="113"/>
      <c r="HC5" s="113"/>
      <c r="HD5" s="113"/>
      <c r="HE5" s="113"/>
      <c r="HF5" s="113"/>
      <c r="HG5" s="113"/>
      <c r="HH5" s="113"/>
      <c r="HI5" s="113"/>
      <c r="HJ5" s="113"/>
      <c r="HK5" s="113"/>
      <c r="HL5" s="113"/>
      <c r="HM5" s="113"/>
      <c r="HN5" s="113"/>
      <c r="HO5" s="113"/>
      <c r="HP5" s="113"/>
      <c r="HQ5" s="113"/>
      <c r="HR5" s="113"/>
      <c r="HS5" s="113"/>
      <c r="HT5" s="113"/>
      <c r="HU5" s="113"/>
      <c r="HV5" s="113"/>
      <c r="HW5" s="113"/>
      <c r="HX5" s="113"/>
      <c r="HY5" s="113"/>
      <c r="HZ5" s="113"/>
      <c r="IA5" s="113"/>
      <c r="IB5" s="113"/>
      <c r="IC5" s="113"/>
      <c r="ID5" s="113"/>
      <c r="IE5" s="113"/>
      <c r="IF5" s="113"/>
      <c r="IG5" s="113"/>
      <c r="IH5" s="113"/>
      <c r="II5" s="113"/>
      <c r="IJ5" s="113"/>
      <c r="IK5" s="113"/>
      <c r="IL5" s="113"/>
      <c r="IM5" s="113"/>
      <c r="IN5" s="113"/>
      <c r="IO5" s="113"/>
      <c r="IP5" s="113"/>
      <c r="IQ5" s="113"/>
      <c r="IR5" s="113"/>
      <c r="IS5" s="113"/>
      <c r="IT5" s="113"/>
      <c r="IU5" s="113"/>
      <c r="IV5" s="113"/>
      <c r="IW5" s="113"/>
      <c r="IX5" s="113"/>
      <c r="IY5" s="113"/>
      <c r="IZ5" s="113"/>
      <c r="JA5" s="113"/>
      <c r="JB5" s="113"/>
      <c r="JC5" s="113"/>
      <c r="JD5" s="113"/>
      <c r="JE5" s="113"/>
      <c r="JF5" s="113"/>
      <c r="JG5" s="113"/>
      <c r="JH5" s="113"/>
      <c r="JI5" s="113"/>
      <c r="JJ5" s="113"/>
      <c r="JK5" s="109"/>
    </row>
    <row r="6" spans="2:271" ht="15" customHeight="1" x14ac:dyDescent="0.2">
      <c r="B6" s="107"/>
      <c r="C6" s="299"/>
      <c r="D6" s="299"/>
      <c r="E6" s="299"/>
      <c r="F6" s="299"/>
      <c r="G6" s="299"/>
      <c r="H6" s="299"/>
      <c r="I6" s="181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3"/>
      <c r="CF6" s="113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3"/>
      <c r="DT6" s="113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3"/>
      <c r="FH6" s="113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3"/>
      <c r="GV6" s="113"/>
      <c r="GW6" s="113"/>
      <c r="GX6" s="113"/>
      <c r="GY6" s="113"/>
      <c r="GZ6" s="113"/>
      <c r="HA6" s="113"/>
      <c r="HB6" s="113"/>
      <c r="HC6" s="113"/>
      <c r="HD6" s="113"/>
      <c r="HE6" s="113"/>
      <c r="HF6" s="113"/>
      <c r="HG6" s="113"/>
      <c r="HH6" s="113"/>
      <c r="HI6" s="113"/>
      <c r="HJ6" s="113"/>
      <c r="HK6" s="113"/>
      <c r="HL6" s="113"/>
      <c r="HM6" s="113"/>
      <c r="HN6" s="113"/>
      <c r="HO6" s="113"/>
      <c r="HP6" s="113"/>
      <c r="HQ6" s="113"/>
      <c r="HR6" s="113"/>
      <c r="HS6" s="113"/>
      <c r="HT6" s="113"/>
      <c r="HU6" s="113"/>
      <c r="HV6" s="113"/>
      <c r="HW6" s="113"/>
      <c r="HX6" s="113"/>
      <c r="HY6" s="113"/>
      <c r="HZ6" s="113"/>
      <c r="IA6" s="113"/>
      <c r="IB6" s="113"/>
      <c r="IC6" s="113"/>
      <c r="ID6" s="113"/>
      <c r="IE6" s="113"/>
      <c r="IF6" s="113"/>
      <c r="IG6" s="113"/>
      <c r="IH6" s="113"/>
      <c r="II6" s="113"/>
      <c r="IJ6" s="113"/>
      <c r="IK6" s="113"/>
      <c r="IL6" s="113"/>
      <c r="IM6" s="113"/>
      <c r="IN6" s="113"/>
      <c r="IO6" s="113"/>
      <c r="IP6" s="113"/>
      <c r="IQ6" s="113"/>
      <c r="IR6" s="113"/>
      <c r="IS6" s="113"/>
      <c r="IT6" s="113"/>
      <c r="IU6" s="113"/>
      <c r="IV6" s="113"/>
      <c r="IW6" s="113"/>
      <c r="IX6" s="113"/>
      <c r="IY6" s="113"/>
      <c r="IZ6" s="113"/>
      <c r="JA6" s="113"/>
      <c r="JB6" s="113"/>
      <c r="JC6" s="113"/>
      <c r="JD6" s="113"/>
      <c r="JE6" s="113"/>
      <c r="JF6" s="113"/>
      <c r="JG6" s="113"/>
      <c r="JH6" s="113"/>
      <c r="JI6" s="113"/>
      <c r="JJ6" s="113"/>
      <c r="JK6" s="109"/>
    </row>
    <row r="7" spans="2:271" ht="15" customHeight="1" x14ac:dyDescent="0.2">
      <c r="B7" s="107"/>
      <c r="C7" s="299"/>
      <c r="D7" s="299"/>
      <c r="E7" s="299"/>
      <c r="F7" s="299"/>
      <c r="G7" s="299"/>
      <c r="H7" s="299"/>
      <c r="I7" s="181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  <c r="BA7" s="113"/>
      <c r="BB7" s="113"/>
      <c r="BC7" s="113"/>
      <c r="BD7" s="113"/>
      <c r="BE7" s="113"/>
      <c r="BF7" s="113"/>
      <c r="BG7" s="113"/>
      <c r="BH7" s="113"/>
      <c r="BI7" s="113"/>
      <c r="BJ7" s="113"/>
      <c r="BK7" s="113"/>
      <c r="BL7" s="113"/>
      <c r="BM7" s="113"/>
      <c r="BN7" s="113"/>
      <c r="BO7" s="113"/>
      <c r="BP7" s="113"/>
      <c r="BQ7" s="113"/>
      <c r="BR7" s="113"/>
      <c r="BS7" s="113"/>
      <c r="BT7" s="113"/>
      <c r="BU7" s="113"/>
      <c r="BV7" s="113"/>
      <c r="BW7" s="113"/>
      <c r="BX7" s="113"/>
      <c r="BY7" s="113"/>
      <c r="BZ7" s="113"/>
      <c r="CA7" s="113"/>
      <c r="CB7" s="113"/>
      <c r="CC7" s="113"/>
      <c r="CD7" s="113"/>
      <c r="CE7" s="113"/>
      <c r="CF7" s="113"/>
      <c r="CG7" s="113"/>
      <c r="CH7" s="113"/>
      <c r="CI7" s="113"/>
      <c r="CJ7" s="113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113"/>
      <c r="DH7" s="113"/>
      <c r="DI7" s="113"/>
      <c r="DJ7" s="113"/>
      <c r="DK7" s="113"/>
      <c r="DL7" s="113"/>
      <c r="DM7" s="113"/>
      <c r="DN7" s="113"/>
      <c r="DO7" s="113"/>
      <c r="DP7" s="113"/>
      <c r="DQ7" s="113"/>
      <c r="DR7" s="113"/>
      <c r="DS7" s="113"/>
      <c r="DT7" s="113"/>
      <c r="DU7" s="113"/>
      <c r="DV7" s="113"/>
      <c r="DW7" s="113"/>
      <c r="DX7" s="113"/>
      <c r="DY7" s="113"/>
      <c r="DZ7" s="113"/>
      <c r="EA7" s="113"/>
      <c r="EB7" s="113"/>
      <c r="EC7" s="113"/>
      <c r="ED7" s="113"/>
      <c r="EE7" s="113"/>
      <c r="EF7" s="113"/>
      <c r="EG7" s="113"/>
      <c r="EH7" s="113"/>
      <c r="EI7" s="113"/>
      <c r="EJ7" s="113"/>
      <c r="EK7" s="113"/>
      <c r="EL7" s="113"/>
      <c r="EM7" s="113"/>
      <c r="EN7" s="113"/>
      <c r="EO7" s="113"/>
      <c r="EP7" s="113"/>
      <c r="EQ7" s="113"/>
      <c r="ER7" s="113"/>
      <c r="ES7" s="113"/>
      <c r="ET7" s="113"/>
      <c r="EU7" s="113"/>
      <c r="EV7" s="113"/>
      <c r="EW7" s="113"/>
      <c r="EX7" s="113"/>
      <c r="EY7" s="113"/>
      <c r="EZ7" s="113"/>
      <c r="FA7" s="113"/>
      <c r="FB7" s="113"/>
      <c r="FC7" s="113"/>
      <c r="FD7" s="113"/>
      <c r="FE7" s="113"/>
      <c r="FF7" s="113"/>
      <c r="FG7" s="113"/>
      <c r="FH7" s="113"/>
      <c r="FI7" s="113"/>
      <c r="FJ7" s="113"/>
      <c r="FK7" s="113"/>
      <c r="FL7" s="113"/>
      <c r="FM7" s="113"/>
      <c r="FN7" s="113"/>
      <c r="FO7" s="113"/>
      <c r="FP7" s="113"/>
      <c r="FQ7" s="113"/>
      <c r="FR7" s="113"/>
      <c r="FS7" s="113"/>
      <c r="FT7" s="113"/>
      <c r="FU7" s="113"/>
      <c r="FV7" s="113"/>
      <c r="FW7" s="113"/>
      <c r="FX7" s="113"/>
      <c r="FY7" s="113"/>
      <c r="FZ7" s="113"/>
      <c r="GA7" s="113"/>
      <c r="GB7" s="113"/>
      <c r="GC7" s="113"/>
      <c r="GD7" s="113"/>
      <c r="GE7" s="113"/>
      <c r="GF7" s="113"/>
      <c r="GG7" s="113"/>
      <c r="GH7" s="113"/>
      <c r="GI7" s="113"/>
      <c r="GJ7" s="113"/>
      <c r="GK7" s="113"/>
      <c r="GL7" s="113"/>
      <c r="GM7" s="113"/>
      <c r="GN7" s="113"/>
      <c r="GO7" s="113"/>
      <c r="GP7" s="113"/>
      <c r="GQ7" s="113"/>
      <c r="GR7" s="113"/>
      <c r="GS7" s="113"/>
      <c r="GT7" s="113"/>
      <c r="GU7" s="113"/>
      <c r="GV7" s="113"/>
      <c r="GW7" s="113"/>
      <c r="GX7" s="113"/>
      <c r="GY7" s="113"/>
      <c r="GZ7" s="113"/>
      <c r="HA7" s="113"/>
      <c r="HB7" s="113"/>
      <c r="HC7" s="113"/>
      <c r="HD7" s="113"/>
      <c r="HE7" s="113"/>
      <c r="HF7" s="113"/>
      <c r="HG7" s="113"/>
      <c r="HH7" s="113"/>
      <c r="HI7" s="113"/>
      <c r="HJ7" s="113"/>
      <c r="HK7" s="113"/>
      <c r="HL7" s="113"/>
      <c r="HM7" s="113"/>
      <c r="HN7" s="113"/>
      <c r="HO7" s="113"/>
      <c r="HP7" s="113"/>
      <c r="HQ7" s="113"/>
      <c r="HR7" s="113"/>
      <c r="HS7" s="113"/>
      <c r="HT7" s="113"/>
      <c r="HU7" s="113"/>
      <c r="HV7" s="113"/>
      <c r="HW7" s="113"/>
      <c r="HX7" s="113"/>
      <c r="HY7" s="113"/>
      <c r="HZ7" s="113"/>
      <c r="IA7" s="113"/>
      <c r="IB7" s="113"/>
      <c r="IC7" s="113"/>
      <c r="ID7" s="113"/>
      <c r="IE7" s="113"/>
      <c r="IF7" s="113"/>
      <c r="IG7" s="113"/>
      <c r="IH7" s="113"/>
      <c r="II7" s="113"/>
      <c r="IJ7" s="113"/>
      <c r="IK7" s="113"/>
      <c r="IL7" s="113"/>
      <c r="IM7" s="113"/>
      <c r="IN7" s="113"/>
      <c r="IO7" s="113"/>
      <c r="IP7" s="113"/>
      <c r="IQ7" s="113"/>
      <c r="IR7" s="113"/>
      <c r="IS7" s="113"/>
      <c r="IT7" s="113"/>
      <c r="IU7" s="113"/>
      <c r="IV7" s="113"/>
      <c r="IW7" s="113"/>
      <c r="IX7" s="113"/>
      <c r="IY7" s="113"/>
      <c r="IZ7" s="113"/>
      <c r="JA7" s="113"/>
      <c r="JB7" s="113"/>
      <c r="JC7" s="113"/>
      <c r="JD7" s="113"/>
      <c r="JE7" s="113"/>
      <c r="JF7" s="113"/>
      <c r="JG7" s="113"/>
      <c r="JH7" s="113"/>
      <c r="JI7" s="113"/>
      <c r="JJ7" s="113"/>
      <c r="JK7" s="109"/>
    </row>
    <row r="8" spans="2:271" ht="16" customHeight="1" thickBot="1" x14ac:dyDescent="0.25">
      <c r="B8" s="107"/>
      <c r="C8" s="300"/>
      <c r="D8" s="300"/>
      <c r="E8" s="300"/>
      <c r="F8" s="300"/>
      <c r="G8" s="300"/>
      <c r="H8" s="300"/>
      <c r="I8" s="182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4"/>
      <c r="AW8" s="114"/>
      <c r="AX8" s="114"/>
      <c r="AY8" s="114"/>
      <c r="AZ8" s="114"/>
      <c r="BA8" s="114"/>
      <c r="BB8" s="114"/>
      <c r="BC8" s="114"/>
      <c r="BD8" s="114"/>
      <c r="BE8" s="114"/>
      <c r="BF8" s="114"/>
      <c r="BG8" s="114"/>
      <c r="BH8" s="114"/>
      <c r="BI8" s="114"/>
      <c r="BJ8" s="114"/>
      <c r="BK8" s="114"/>
      <c r="BL8" s="114"/>
      <c r="BM8" s="114"/>
      <c r="BN8" s="114"/>
      <c r="BO8" s="114"/>
      <c r="BP8" s="114"/>
      <c r="BQ8" s="114"/>
      <c r="BR8" s="114"/>
      <c r="BS8" s="114"/>
      <c r="BT8" s="114"/>
      <c r="BU8" s="114"/>
      <c r="BV8" s="114"/>
      <c r="BW8" s="114"/>
      <c r="BX8" s="114"/>
      <c r="BY8" s="114"/>
      <c r="BZ8" s="114"/>
      <c r="CA8" s="114"/>
      <c r="CB8" s="114"/>
      <c r="CC8" s="114"/>
      <c r="CD8" s="114"/>
      <c r="CE8" s="114"/>
      <c r="CF8" s="114"/>
      <c r="CG8" s="114"/>
      <c r="CH8" s="114"/>
      <c r="CI8" s="114"/>
      <c r="CJ8" s="114"/>
      <c r="CK8" s="114"/>
      <c r="CL8" s="114"/>
      <c r="CM8" s="114"/>
      <c r="CN8" s="114"/>
      <c r="CO8" s="114"/>
      <c r="CP8" s="114"/>
      <c r="CQ8" s="114"/>
      <c r="CR8" s="114"/>
      <c r="CS8" s="114"/>
      <c r="CT8" s="114"/>
      <c r="CU8" s="114"/>
      <c r="CV8" s="114"/>
      <c r="CW8" s="114"/>
      <c r="CX8" s="114"/>
      <c r="CY8" s="114"/>
      <c r="CZ8" s="114"/>
      <c r="DA8" s="114"/>
      <c r="DB8" s="114"/>
      <c r="DC8" s="114"/>
      <c r="DD8" s="114"/>
      <c r="DE8" s="114"/>
      <c r="DF8" s="114"/>
      <c r="DG8" s="114"/>
      <c r="DH8" s="114"/>
      <c r="DI8" s="114"/>
      <c r="DJ8" s="114"/>
      <c r="DK8" s="114"/>
      <c r="DL8" s="114"/>
      <c r="DM8" s="114"/>
      <c r="DN8" s="114"/>
      <c r="DO8" s="114"/>
      <c r="DP8" s="114"/>
      <c r="DQ8" s="114"/>
      <c r="DR8" s="114"/>
      <c r="DS8" s="114"/>
      <c r="DT8" s="114"/>
      <c r="DU8" s="114"/>
      <c r="DV8" s="114"/>
      <c r="DW8" s="114"/>
      <c r="DX8" s="114"/>
      <c r="DY8" s="114"/>
      <c r="DZ8" s="114"/>
      <c r="EA8" s="114"/>
      <c r="EB8" s="114"/>
      <c r="EC8" s="114"/>
      <c r="ED8" s="114"/>
      <c r="EE8" s="114"/>
      <c r="EF8" s="114"/>
      <c r="EG8" s="114"/>
      <c r="EH8" s="114"/>
      <c r="EI8" s="114"/>
      <c r="EJ8" s="114"/>
      <c r="EK8" s="114"/>
      <c r="EL8" s="114"/>
      <c r="EM8" s="114"/>
      <c r="EN8" s="114"/>
      <c r="EO8" s="114"/>
      <c r="EP8" s="114"/>
      <c r="EQ8" s="114"/>
      <c r="ER8" s="114"/>
      <c r="ES8" s="114"/>
      <c r="ET8" s="114"/>
      <c r="EU8" s="114"/>
      <c r="EV8" s="114"/>
      <c r="EW8" s="114"/>
      <c r="EX8" s="114"/>
      <c r="EY8" s="114"/>
      <c r="EZ8" s="114"/>
      <c r="FA8" s="114"/>
      <c r="FB8" s="114"/>
      <c r="FC8" s="114"/>
      <c r="FD8" s="114"/>
      <c r="FE8" s="114"/>
      <c r="FF8" s="114"/>
      <c r="FG8" s="114"/>
      <c r="FH8" s="114"/>
      <c r="FI8" s="114"/>
      <c r="FJ8" s="114"/>
      <c r="FK8" s="114"/>
      <c r="FL8" s="114"/>
      <c r="FM8" s="114"/>
      <c r="FN8" s="114"/>
      <c r="FO8" s="114"/>
      <c r="FP8" s="114"/>
      <c r="FQ8" s="114"/>
      <c r="FR8" s="114"/>
      <c r="FS8" s="114"/>
      <c r="FT8" s="114"/>
      <c r="FU8" s="114"/>
      <c r="FV8" s="114"/>
      <c r="FW8" s="114"/>
      <c r="FX8" s="114"/>
      <c r="FY8" s="114"/>
      <c r="FZ8" s="114"/>
      <c r="GA8" s="114"/>
      <c r="GB8" s="114"/>
      <c r="GC8" s="114"/>
      <c r="GD8" s="114"/>
      <c r="GE8" s="114"/>
      <c r="GF8" s="114"/>
      <c r="GG8" s="114"/>
      <c r="GH8" s="114"/>
      <c r="GI8" s="114"/>
      <c r="GJ8" s="114"/>
      <c r="GK8" s="114"/>
      <c r="GL8" s="114"/>
      <c r="GM8" s="114"/>
      <c r="GN8" s="114"/>
      <c r="GO8" s="114"/>
      <c r="GP8" s="114"/>
      <c r="GQ8" s="114"/>
      <c r="GR8" s="114"/>
      <c r="GS8" s="114"/>
      <c r="GT8" s="114"/>
      <c r="GU8" s="114"/>
      <c r="GV8" s="114"/>
      <c r="GW8" s="114"/>
      <c r="GX8" s="114"/>
      <c r="GY8" s="114"/>
      <c r="GZ8" s="114"/>
      <c r="HA8" s="114"/>
      <c r="HB8" s="114"/>
      <c r="HC8" s="114"/>
      <c r="HD8" s="114"/>
      <c r="HE8" s="114"/>
      <c r="HF8" s="114"/>
      <c r="HG8" s="114"/>
      <c r="HH8" s="114"/>
      <c r="HI8" s="114"/>
      <c r="HJ8" s="114"/>
      <c r="HK8" s="114"/>
      <c r="HL8" s="114"/>
      <c r="HM8" s="114"/>
      <c r="HN8" s="114"/>
      <c r="HO8" s="114"/>
      <c r="HP8" s="114"/>
      <c r="HQ8" s="114"/>
      <c r="HR8" s="114"/>
      <c r="HS8" s="114"/>
      <c r="HT8" s="114"/>
      <c r="HU8" s="114"/>
      <c r="HV8" s="114"/>
      <c r="HW8" s="114"/>
      <c r="HX8" s="114"/>
      <c r="HY8" s="114"/>
      <c r="HZ8" s="114"/>
      <c r="IA8" s="114"/>
      <c r="IB8" s="114"/>
      <c r="IC8" s="114"/>
      <c r="ID8" s="114"/>
      <c r="IE8" s="114"/>
      <c r="IF8" s="114"/>
      <c r="IG8" s="114"/>
      <c r="IH8" s="114"/>
      <c r="II8" s="114"/>
      <c r="IJ8" s="114"/>
      <c r="IK8" s="114"/>
      <c r="IL8" s="114"/>
      <c r="IM8" s="114"/>
      <c r="IN8" s="114"/>
      <c r="IO8" s="114"/>
      <c r="IP8" s="114"/>
      <c r="IQ8" s="114"/>
      <c r="IR8" s="114"/>
      <c r="IS8" s="114"/>
      <c r="IT8" s="114"/>
      <c r="IU8" s="114"/>
      <c r="IV8" s="114"/>
      <c r="IW8" s="114"/>
      <c r="IX8" s="114"/>
      <c r="IY8" s="114"/>
      <c r="IZ8" s="114"/>
      <c r="JA8" s="114"/>
      <c r="JB8" s="114"/>
      <c r="JC8" s="114"/>
      <c r="JD8" s="114"/>
      <c r="JE8" s="114"/>
      <c r="JF8" s="114"/>
      <c r="JG8" s="114"/>
      <c r="JH8" s="114"/>
      <c r="JI8" s="114"/>
      <c r="JJ8" s="114"/>
      <c r="JK8" s="109"/>
    </row>
    <row r="9" spans="2:271" ht="18" customHeight="1" thickTop="1" thickBot="1" x14ac:dyDescent="0.25">
      <c r="B9" s="107"/>
      <c r="C9" s="7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1"/>
      <c r="JK9" s="109"/>
    </row>
    <row r="10" spans="2:271" ht="16" customHeight="1" thickBot="1" x14ac:dyDescent="0.25">
      <c r="B10" s="107"/>
      <c r="C10" s="194" t="s">
        <v>32</v>
      </c>
      <c r="D10" s="195"/>
      <c r="E10" s="194" t="s">
        <v>44</v>
      </c>
      <c r="F10" s="195"/>
      <c r="G10" s="194" t="s">
        <v>45</v>
      </c>
      <c r="H10" s="195"/>
      <c r="I10" s="12"/>
      <c r="J10" s="124" t="str">
        <f t="shared" ref="J10:BU10" si="0">TEXT(J11,"DDD")</f>
        <v>Wed</v>
      </c>
      <c r="K10" s="124" t="str">
        <f t="shared" si="0"/>
        <v>Thu</v>
      </c>
      <c r="L10" s="124" t="str">
        <f t="shared" si="0"/>
        <v>Fri</v>
      </c>
      <c r="M10" s="124" t="str">
        <f t="shared" si="0"/>
        <v>Mon</v>
      </c>
      <c r="N10" s="124" t="str">
        <f t="shared" si="0"/>
        <v>Tue</v>
      </c>
      <c r="O10" s="124" t="str">
        <f t="shared" si="0"/>
        <v>Wed</v>
      </c>
      <c r="P10" s="124" t="str">
        <f t="shared" si="0"/>
        <v>Thu</v>
      </c>
      <c r="Q10" s="124" t="str">
        <f t="shared" si="0"/>
        <v>Fri</v>
      </c>
      <c r="R10" s="124" t="str">
        <f t="shared" si="0"/>
        <v>Mon</v>
      </c>
      <c r="S10" s="124" t="str">
        <f t="shared" si="0"/>
        <v>Tue</v>
      </c>
      <c r="T10" s="124" t="str">
        <f t="shared" si="0"/>
        <v>Wed</v>
      </c>
      <c r="U10" s="124" t="str">
        <f t="shared" si="0"/>
        <v>Thu</v>
      </c>
      <c r="V10" s="124" t="str">
        <f t="shared" si="0"/>
        <v>Fri</v>
      </c>
      <c r="W10" s="124" t="str">
        <f t="shared" si="0"/>
        <v>Mon</v>
      </c>
      <c r="X10" s="124" t="str">
        <f t="shared" si="0"/>
        <v>Tue</v>
      </c>
      <c r="Y10" s="124" t="str">
        <f t="shared" si="0"/>
        <v>Wed</v>
      </c>
      <c r="Z10" s="124" t="str">
        <f t="shared" si="0"/>
        <v>Thu</v>
      </c>
      <c r="AA10" s="124" t="str">
        <f t="shared" si="0"/>
        <v>Fri</v>
      </c>
      <c r="AB10" s="124" t="str">
        <f t="shared" si="0"/>
        <v>Mon</v>
      </c>
      <c r="AC10" s="124" t="str">
        <f t="shared" si="0"/>
        <v>Tue</v>
      </c>
      <c r="AD10" s="124" t="str">
        <f t="shared" si="0"/>
        <v>Wed</v>
      </c>
      <c r="AE10" s="124" t="str">
        <f t="shared" si="0"/>
        <v>Thu</v>
      </c>
      <c r="AF10" s="124" t="str">
        <f t="shared" si="0"/>
        <v>Fri</v>
      </c>
      <c r="AG10" s="124" t="str">
        <f t="shared" si="0"/>
        <v>Mon</v>
      </c>
      <c r="AH10" s="124" t="str">
        <f t="shared" si="0"/>
        <v>Tue</v>
      </c>
      <c r="AI10" s="124" t="str">
        <f t="shared" si="0"/>
        <v>Wed</v>
      </c>
      <c r="AJ10" s="124" t="str">
        <f t="shared" si="0"/>
        <v>Thu</v>
      </c>
      <c r="AK10" s="124" t="str">
        <f t="shared" si="0"/>
        <v>Fri</v>
      </c>
      <c r="AL10" s="124" t="str">
        <f t="shared" si="0"/>
        <v>Mon</v>
      </c>
      <c r="AM10" s="124" t="str">
        <f t="shared" si="0"/>
        <v>Tue</v>
      </c>
      <c r="AN10" s="124" t="str">
        <f t="shared" si="0"/>
        <v>Wed</v>
      </c>
      <c r="AO10" s="124" t="str">
        <f t="shared" si="0"/>
        <v>Thu</v>
      </c>
      <c r="AP10" s="124" t="str">
        <f t="shared" si="0"/>
        <v>Fri</v>
      </c>
      <c r="AQ10" s="124" t="str">
        <f t="shared" si="0"/>
        <v>Mon</v>
      </c>
      <c r="AR10" s="124" t="str">
        <f t="shared" si="0"/>
        <v>Tue</v>
      </c>
      <c r="AS10" s="124" t="str">
        <f t="shared" si="0"/>
        <v>Wed</v>
      </c>
      <c r="AT10" s="124" t="str">
        <f t="shared" si="0"/>
        <v>Thu</v>
      </c>
      <c r="AU10" s="124" t="str">
        <f t="shared" si="0"/>
        <v>Fri</v>
      </c>
      <c r="AV10" s="124" t="str">
        <f t="shared" si="0"/>
        <v>Mon</v>
      </c>
      <c r="AW10" s="124" t="str">
        <f t="shared" si="0"/>
        <v>Tue</v>
      </c>
      <c r="AX10" s="124" t="str">
        <f t="shared" si="0"/>
        <v>Wed</v>
      </c>
      <c r="AY10" s="124" t="str">
        <f t="shared" si="0"/>
        <v>Thu</v>
      </c>
      <c r="AZ10" s="124" t="str">
        <f t="shared" si="0"/>
        <v>Fri</v>
      </c>
      <c r="BA10" s="124" t="str">
        <f t="shared" si="0"/>
        <v>Mon</v>
      </c>
      <c r="BB10" s="124" t="str">
        <f t="shared" si="0"/>
        <v>Tue</v>
      </c>
      <c r="BC10" s="124" t="str">
        <f t="shared" si="0"/>
        <v>Wed</v>
      </c>
      <c r="BD10" s="124" t="str">
        <f t="shared" si="0"/>
        <v>Thu</v>
      </c>
      <c r="BE10" s="124" t="str">
        <f t="shared" si="0"/>
        <v>Fri</v>
      </c>
      <c r="BF10" s="124" t="str">
        <f t="shared" si="0"/>
        <v>Mon</v>
      </c>
      <c r="BG10" s="124" t="str">
        <f t="shared" si="0"/>
        <v>Tue</v>
      </c>
      <c r="BH10" s="124" t="str">
        <f t="shared" si="0"/>
        <v>Wed</v>
      </c>
      <c r="BI10" s="124" t="str">
        <f t="shared" si="0"/>
        <v>Thu</v>
      </c>
      <c r="BJ10" s="124" t="str">
        <f t="shared" si="0"/>
        <v>Fri</v>
      </c>
      <c r="BK10" s="124" t="str">
        <f t="shared" si="0"/>
        <v>Mon</v>
      </c>
      <c r="BL10" s="124" t="str">
        <f t="shared" si="0"/>
        <v>Tue</v>
      </c>
      <c r="BM10" s="124" t="str">
        <f t="shared" si="0"/>
        <v>Wed</v>
      </c>
      <c r="BN10" s="124" t="str">
        <f t="shared" si="0"/>
        <v>Thu</v>
      </c>
      <c r="BO10" s="124" t="str">
        <f t="shared" si="0"/>
        <v>Fri</v>
      </c>
      <c r="BP10" s="124" t="str">
        <f t="shared" si="0"/>
        <v>Mon</v>
      </c>
      <c r="BQ10" s="124" t="str">
        <f t="shared" si="0"/>
        <v>Tue</v>
      </c>
      <c r="BR10" s="124" t="str">
        <f t="shared" si="0"/>
        <v>Wed</v>
      </c>
      <c r="BS10" s="124" t="str">
        <f t="shared" si="0"/>
        <v>Thu</v>
      </c>
      <c r="BT10" s="124" t="str">
        <f t="shared" si="0"/>
        <v>Fri</v>
      </c>
      <c r="BU10" s="124" t="str">
        <f t="shared" si="0"/>
        <v>Mon</v>
      </c>
      <c r="BV10" s="124" t="str">
        <f t="shared" ref="BV10:EG10" si="1">TEXT(BV11,"DDD")</f>
        <v>Tue</v>
      </c>
      <c r="BW10" s="124" t="str">
        <f t="shared" si="1"/>
        <v>Wed</v>
      </c>
      <c r="BX10" s="124" t="str">
        <f t="shared" si="1"/>
        <v>Thu</v>
      </c>
      <c r="BY10" s="124" t="str">
        <f t="shared" si="1"/>
        <v>Fri</v>
      </c>
      <c r="BZ10" s="124" t="str">
        <f t="shared" si="1"/>
        <v>Mon</v>
      </c>
      <c r="CA10" s="124" t="str">
        <f t="shared" si="1"/>
        <v>Tue</v>
      </c>
      <c r="CB10" s="124" t="str">
        <f t="shared" si="1"/>
        <v>Wed</v>
      </c>
      <c r="CC10" s="124" t="str">
        <f t="shared" si="1"/>
        <v>Thu</v>
      </c>
      <c r="CD10" s="124" t="str">
        <f t="shared" si="1"/>
        <v>Fri</v>
      </c>
      <c r="CE10" s="124" t="str">
        <f t="shared" si="1"/>
        <v>Mon</v>
      </c>
      <c r="CF10" s="124" t="str">
        <f t="shared" si="1"/>
        <v>Tue</v>
      </c>
      <c r="CG10" s="124" t="str">
        <f t="shared" si="1"/>
        <v>Wed</v>
      </c>
      <c r="CH10" s="124" t="str">
        <f t="shared" si="1"/>
        <v>Thu</v>
      </c>
      <c r="CI10" s="124" t="str">
        <f t="shared" si="1"/>
        <v>Fri</v>
      </c>
      <c r="CJ10" s="124" t="str">
        <f t="shared" si="1"/>
        <v>Mon</v>
      </c>
      <c r="CK10" s="124" t="str">
        <f t="shared" si="1"/>
        <v>Tue</v>
      </c>
      <c r="CL10" s="124" t="str">
        <f t="shared" si="1"/>
        <v>Wed</v>
      </c>
      <c r="CM10" s="124" t="str">
        <f t="shared" si="1"/>
        <v>Thu</v>
      </c>
      <c r="CN10" s="124" t="str">
        <f t="shared" si="1"/>
        <v>Fri</v>
      </c>
      <c r="CO10" s="124" t="str">
        <f t="shared" si="1"/>
        <v>Mon</v>
      </c>
      <c r="CP10" s="124" t="str">
        <f t="shared" si="1"/>
        <v>Tue</v>
      </c>
      <c r="CQ10" s="124" t="str">
        <f t="shared" si="1"/>
        <v>Wed</v>
      </c>
      <c r="CR10" s="124" t="str">
        <f t="shared" si="1"/>
        <v>Thu</v>
      </c>
      <c r="CS10" s="124" t="str">
        <f t="shared" si="1"/>
        <v>Fri</v>
      </c>
      <c r="CT10" s="124" t="str">
        <f t="shared" si="1"/>
        <v>Mon</v>
      </c>
      <c r="CU10" s="124" t="str">
        <f t="shared" si="1"/>
        <v>Tue</v>
      </c>
      <c r="CV10" s="124" t="str">
        <f t="shared" si="1"/>
        <v>Wed</v>
      </c>
      <c r="CW10" s="124" t="str">
        <f t="shared" si="1"/>
        <v>Thu</v>
      </c>
      <c r="CX10" s="124" t="str">
        <f t="shared" si="1"/>
        <v>Fri</v>
      </c>
      <c r="CY10" s="124" t="str">
        <f t="shared" si="1"/>
        <v>Mon</v>
      </c>
      <c r="CZ10" s="124" t="str">
        <f t="shared" si="1"/>
        <v>Tue</v>
      </c>
      <c r="DA10" s="124" t="str">
        <f t="shared" si="1"/>
        <v>Wed</v>
      </c>
      <c r="DB10" s="124" t="str">
        <f t="shared" si="1"/>
        <v>Thu</v>
      </c>
      <c r="DC10" s="124" t="str">
        <f t="shared" si="1"/>
        <v>Fri</v>
      </c>
      <c r="DD10" s="124" t="str">
        <f t="shared" si="1"/>
        <v>Mon</v>
      </c>
      <c r="DE10" s="124" t="str">
        <f t="shared" si="1"/>
        <v>Tue</v>
      </c>
      <c r="DF10" s="124" t="str">
        <f t="shared" si="1"/>
        <v>Wed</v>
      </c>
      <c r="DG10" s="124" t="str">
        <f t="shared" si="1"/>
        <v>Thu</v>
      </c>
      <c r="DH10" s="124" t="str">
        <f t="shared" si="1"/>
        <v>Fri</v>
      </c>
      <c r="DI10" s="124" t="str">
        <f t="shared" si="1"/>
        <v>Mon</v>
      </c>
      <c r="DJ10" s="124" t="str">
        <f t="shared" si="1"/>
        <v>Tue</v>
      </c>
      <c r="DK10" s="124" t="str">
        <f t="shared" si="1"/>
        <v>Wed</v>
      </c>
      <c r="DL10" s="124" t="str">
        <f t="shared" si="1"/>
        <v>Thu</v>
      </c>
      <c r="DM10" s="124" t="str">
        <f t="shared" si="1"/>
        <v>Fri</v>
      </c>
      <c r="DN10" s="124" t="str">
        <f t="shared" si="1"/>
        <v>Mon</v>
      </c>
      <c r="DO10" s="124" t="str">
        <f t="shared" si="1"/>
        <v>Tue</v>
      </c>
      <c r="DP10" s="124" t="str">
        <f t="shared" si="1"/>
        <v>Wed</v>
      </c>
      <c r="DQ10" s="124" t="str">
        <f t="shared" si="1"/>
        <v>Thu</v>
      </c>
      <c r="DR10" s="124" t="str">
        <f t="shared" si="1"/>
        <v>Fri</v>
      </c>
      <c r="DS10" s="124" t="str">
        <f t="shared" si="1"/>
        <v>Mon</v>
      </c>
      <c r="DT10" s="124" t="str">
        <f t="shared" si="1"/>
        <v>Tue</v>
      </c>
      <c r="DU10" s="124" t="str">
        <f t="shared" si="1"/>
        <v>Wed</v>
      </c>
      <c r="DV10" s="124" t="str">
        <f t="shared" si="1"/>
        <v>Thu</v>
      </c>
      <c r="DW10" s="124" t="str">
        <f t="shared" si="1"/>
        <v>Fri</v>
      </c>
      <c r="DX10" s="124" t="str">
        <f t="shared" si="1"/>
        <v>Mon</v>
      </c>
      <c r="DY10" s="124" t="str">
        <f t="shared" si="1"/>
        <v>Tue</v>
      </c>
      <c r="DZ10" s="124" t="str">
        <f t="shared" si="1"/>
        <v>Wed</v>
      </c>
      <c r="EA10" s="124" t="str">
        <f t="shared" si="1"/>
        <v>Thu</v>
      </c>
      <c r="EB10" s="124" t="str">
        <f t="shared" si="1"/>
        <v>Fri</v>
      </c>
      <c r="EC10" s="124" t="str">
        <f t="shared" si="1"/>
        <v>Mon</v>
      </c>
      <c r="ED10" s="124" t="str">
        <f t="shared" si="1"/>
        <v>Tue</v>
      </c>
      <c r="EE10" s="124" t="str">
        <f t="shared" si="1"/>
        <v>Wed</v>
      </c>
      <c r="EF10" s="124" t="str">
        <f t="shared" si="1"/>
        <v>Thu</v>
      </c>
      <c r="EG10" s="124" t="str">
        <f t="shared" si="1"/>
        <v>Fri</v>
      </c>
      <c r="EH10" s="124" t="str">
        <f t="shared" ref="EH10:GS10" si="2">TEXT(EH11,"DDD")</f>
        <v>Mon</v>
      </c>
      <c r="EI10" s="124" t="str">
        <f t="shared" si="2"/>
        <v>Tue</v>
      </c>
      <c r="EJ10" s="124" t="str">
        <f t="shared" si="2"/>
        <v>Wed</v>
      </c>
      <c r="EK10" s="124" t="str">
        <f t="shared" si="2"/>
        <v>Thu</v>
      </c>
      <c r="EL10" s="124" t="str">
        <f t="shared" si="2"/>
        <v>Fri</v>
      </c>
      <c r="EM10" s="124" t="str">
        <f t="shared" si="2"/>
        <v>Mon</v>
      </c>
      <c r="EN10" s="124" t="str">
        <f t="shared" si="2"/>
        <v>Tue</v>
      </c>
      <c r="EO10" s="124" t="str">
        <f t="shared" si="2"/>
        <v>Wed</v>
      </c>
      <c r="EP10" s="124" t="str">
        <f t="shared" si="2"/>
        <v>Thu</v>
      </c>
      <c r="EQ10" s="124" t="str">
        <f t="shared" si="2"/>
        <v>Fri</v>
      </c>
      <c r="ER10" s="124" t="str">
        <f t="shared" si="2"/>
        <v>Mon</v>
      </c>
      <c r="ES10" s="124" t="str">
        <f t="shared" si="2"/>
        <v>Tue</v>
      </c>
      <c r="ET10" s="124" t="str">
        <f t="shared" si="2"/>
        <v>Wed</v>
      </c>
      <c r="EU10" s="124" t="str">
        <f t="shared" si="2"/>
        <v>Thu</v>
      </c>
      <c r="EV10" s="124" t="str">
        <f t="shared" si="2"/>
        <v>Fri</v>
      </c>
      <c r="EW10" s="124" t="str">
        <f t="shared" si="2"/>
        <v>Mon</v>
      </c>
      <c r="EX10" s="124" t="str">
        <f t="shared" si="2"/>
        <v>Tue</v>
      </c>
      <c r="EY10" s="124" t="str">
        <f t="shared" si="2"/>
        <v>Wed</v>
      </c>
      <c r="EZ10" s="124" t="str">
        <f t="shared" si="2"/>
        <v>Thu</v>
      </c>
      <c r="FA10" s="124" t="str">
        <f t="shared" si="2"/>
        <v>Fri</v>
      </c>
      <c r="FB10" s="124" t="str">
        <f t="shared" si="2"/>
        <v>Mon</v>
      </c>
      <c r="FC10" s="124" t="str">
        <f t="shared" si="2"/>
        <v>Tue</v>
      </c>
      <c r="FD10" s="124" t="str">
        <f t="shared" si="2"/>
        <v>Wed</v>
      </c>
      <c r="FE10" s="124" t="str">
        <f t="shared" si="2"/>
        <v>Thu</v>
      </c>
      <c r="FF10" s="124" t="str">
        <f t="shared" si="2"/>
        <v>Fri</v>
      </c>
      <c r="FG10" s="124" t="str">
        <f t="shared" si="2"/>
        <v>Mon</v>
      </c>
      <c r="FH10" s="124" t="str">
        <f t="shared" si="2"/>
        <v>Tue</v>
      </c>
      <c r="FI10" s="124" t="str">
        <f t="shared" si="2"/>
        <v>Wed</v>
      </c>
      <c r="FJ10" s="124" t="str">
        <f t="shared" si="2"/>
        <v>Thu</v>
      </c>
      <c r="FK10" s="124" t="str">
        <f t="shared" si="2"/>
        <v>Fri</v>
      </c>
      <c r="FL10" s="124" t="str">
        <f t="shared" si="2"/>
        <v>Mon</v>
      </c>
      <c r="FM10" s="124" t="str">
        <f t="shared" si="2"/>
        <v>Tue</v>
      </c>
      <c r="FN10" s="124" t="str">
        <f t="shared" si="2"/>
        <v>Wed</v>
      </c>
      <c r="FO10" s="124" t="str">
        <f t="shared" si="2"/>
        <v>Thu</v>
      </c>
      <c r="FP10" s="124" t="str">
        <f t="shared" si="2"/>
        <v>Fri</v>
      </c>
      <c r="FQ10" s="124" t="str">
        <f t="shared" si="2"/>
        <v>Mon</v>
      </c>
      <c r="FR10" s="124" t="str">
        <f t="shared" si="2"/>
        <v>Tue</v>
      </c>
      <c r="FS10" s="124" t="str">
        <f t="shared" si="2"/>
        <v>Wed</v>
      </c>
      <c r="FT10" s="124" t="str">
        <f t="shared" si="2"/>
        <v>Thu</v>
      </c>
      <c r="FU10" s="124" t="str">
        <f t="shared" si="2"/>
        <v>Fri</v>
      </c>
      <c r="FV10" s="124" t="str">
        <f t="shared" si="2"/>
        <v>Mon</v>
      </c>
      <c r="FW10" s="124" t="str">
        <f t="shared" si="2"/>
        <v>Tue</v>
      </c>
      <c r="FX10" s="124" t="str">
        <f t="shared" si="2"/>
        <v>Wed</v>
      </c>
      <c r="FY10" s="124" t="str">
        <f t="shared" si="2"/>
        <v>Thu</v>
      </c>
      <c r="FZ10" s="124" t="str">
        <f t="shared" si="2"/>
        <v>Fri</v>
      </c>
      <c r="GA10" s="124" t="str">
        <f t="shared" si="2"/>
        <v>Mon</v>
      </c>
      <c r="GB10" s="124" t="str">
        <f t="shared" si="2"/>
        <v>Tue</v>
      </c>
      <c r="GC10" s="124" t="str">
        <f t="shared" si="2"/>
        <v>Wed</v>
      </c>
      <c r="GD10" s="124" t="str">
        <f t="shared" si="2"/>
        <v>Thu</v>
      </c>
      <c r="GE10" s="124" t="str">
        <f t="shared" si="2"/>
        <v>Fri</v>
      </c>
      <c r="GF10" s="124" t="str">
        <f t="shared" si="2"/>
        <v>Mon</v>
      </c>
      <c r="GG10" s="124" t="str">
        <f t="shared" si="2"/>
        <v>Tue</v>
      </c>
      <c r="GH10" s="124" t="str">
        <f t="shared" si="2"/>
        <v>Wed</v>
      </c>
      <c r="GI10" s="124" t="str">
        <f t="shared" si="2"/>
        <v>Thu</v>
      </c>
      <c r="GJ10" s="124" t="str">
        <f t="shared" si="2"/>
        <v>Fri</v>
      </c>
      <c r="GK10" s="124" t="str">
        <f t="shared" si="2"/>
        <v>Mon</v>
      </c>
      <c r="GL10" s="124" t="str">
        <f t="shared" si="2"/>
        <v>Tue</v>
      </c>
      <c r="GM10" s="124" t="str">
        <f t="shared" si="2"/>
        <v>Wed</v>
      </c>
      <c r="GN10" s="124" t="str">
        <f t="shared" si="2"/>
        <v>Thu</v>
      </c>
      <c r="GO10" s="124" t="str">
        <f t="shared" si="2"/>
        <v>Fri</v>
      </c>
      <c r="GP10" s="124" t="str">
        <f t="shared" si="2"/>
        <v>Mon</v>
      </c>
      <c r="GQ10" s="124" t="str">
        <f t="shared" si="2"/>
        <v>Tue</v>
      </c>
      <c r="GR10" s="124" t="str">
        <f t="shared" si="2"/>
        <v>Wed</v>
      </c>
      <c r="GS10" s="124" t="str">
        <f t="shared" si="2"/>
        <v>Thu</v>
      </c>
      <c r="GT10" s="124" t="str">
        <f t="shared" ref="GT10:JE10" si="3">TEXT(GT11,"DDD")</f>
        <v>Fri</v>
      </c>
      <c r="GU10" s="124" t="str">
        <f t="shared" si="3"/>
        <v>Mon</v>
      </c>
      <c r="GV10" s="124" t="str">
        <f t="shared" si="3"/>
        <v>Tue</v>
      </c>
      <c r="GW10" s="124" t="str">
        <f t="shared" si="3"/>
        <v>Wed</v>
      </c>
      <c r="GX10" s="124" t="str">
        <f t="shared" si="3"/>
        <v>Thu</v>
      </c>
      <c r="GY10" s="124" t="str">
        <f t="shared" si="3"/>
        <v>Fri</v>
      </c>
      <c r="GZ10" s="124" t="str">
        <f t="shared" si="3"/>
        <v>Mon</v>
      </c>
      <c r="HA10" s="124" t="str">
        <f t="shared" si="3"/>
        <v>Tue</v>
      </c>
      <c r="HB10" s="124" t="str">
        <f t="shared" si="3"/>
        <v>Wed</v>
      </c>
      <c r="HC10" s="124" t="str">
        <f t="shared" si="3"/>
        <v>Thu</v>
      </c>
      <c r="HD10" s="124" t="str">
        <f t="shared" si="3"/>
        <v>Fri</v>
      </c>
      <c r="HE10" s="124" t="str">
        <f t="shared" si="3"/>
        <v>Mon</v>
      </c>
      <c r="HF10" s="124" t="str">
        <f t="shared" si="3"/>
        <v>Tue</v>
      </c>
      <c r="HG10" s="124" t="str">
        <f t="shared" si="3"/>
        <v>Wed</v>
      </c>
      <c r="HH10" s="124" t="str">
        <f t="shared" si="3"/>
        <v>Thu</v>
      </c>
      <c r="HI10" s="124" t="str">
        <f t="shared" si="3"/>
        <v>Fri</v>
      </c>
      <c r="HJ10" s="124" t="str">
        <f t="shared" si="3"/>
        <v>Mon</v>
      </c>
      <c r="HK10" s="124" t="str">
        <f t="shared" si="3"/>
        <v>Tue</v>
      </c>
      <c r="HL10" s="124" t="str">
        <f t="shared" si="3"/>
        <v>Wed</v>
      </c>
      <c r="HM10" s="124" t="str">
        <f t="shared" si="3"/>
        <v>Thu</v>
      </c>
      <c r="HN10" s="124" t="str">
        <f t="shared" si="3"/>
        <v>Fri</v>
      </c>
      <c r="HO10" s="124" t="str">
        <f t="shared" si="3"/>
        <v>Mon</v>
      </c>
      <c r="HP10" s="124" t="str">
        <f t="shared" si="3"/>
        <v>Tue</v>
      </c>
      <c r="HQ10" s="124" t="str">
        <f t="shared" si="3"/>
        <v>Wed</v>
      </c>
      <c r="HR10" s="124" t="str">
        <f t="shared" si="3"/>
        <v>Thu</v>
      </c>
      <c r="HS10" s="124" t="str">
        <f t="shared" si="3"/>
        <v>Fri</v>
      </c>
      <c r="HT10" s="124" t="str">
        <f t="shared" si="3"/>
        <v>Mon</v>
      </c>
      <c r="HU10" s="124" t="str">
        <f t="shared" si="3"/>
        <v>Tue</v>
      </c>
      <c r="HV10" s="124" t="str">
        <f t="shared" si="3"/>
        <v>Wed</v>
      </c>
      <c r="HW10" s="124" t="str">
        <f t="shared" si="3"/>
        <v>Thu</v>
      </c>
      <c r="HX10" s="124" t="str">
        <f t="shared" si="3"/>
        <v>Fri</v>
      </c>
      <c r="HY10" s="124" t="str">
        <f t="shared" si="3"/>
        <v>Mon</v>
      </c>
      <c r="HZ10" s="124" t="str">
        <f t="shared" si="3"/>
        <v>Tue</v>
      </c>
      <c r="IA10" s="124" t="str">
        <f t="shared" si="3"/>
        <v>Wed</v>
      </c>
      <c r="IB10" s="124" t="str">
        <f t="shared" si="3"/>
        <v>Thu</v>
      </c>
      <c r="IC10" s="124" t="str">
        <f t="shared" si="3"/>
        <v>Fri</v>
      </c>
      <c r="ID10" s="124" t="str">
        <f t="shared" si="3"/>
        <v>Mon</v>
      </c>
      <c r="IE10" s="124" t="str">
        <f t="shared" si="3"/>
        <v>Tue</v>
      </c>
      <c r="IF10" s="124" t="str">
        <f t="shared" si="3"/>
        <v>Wed</v>
      </c>
      <c r="IG10" s="124" t="str">
        <f t="shared" si="3"/>
        <v>Thu</v>
      </c>
      <c r="IH10" s="124" t="str">
        <f t="shared" si="3"/>
        <v>Fri</v>
      </c>
      <c r="II10" s="124" t="str">
        <f t="shared" si="3"/>
        <v>Mon</v>
      </c>
      <c r="IJ10" s="124" t="str">
        <f t="shared" si="3"/>
        <v>Tue</v>
      </c>
      <c r="IK10" s="124" t="str">
        <f t="shared" si="3"/>
        <v>Wed</v>
      </c>
      <c r="IL10" s="124" t="str">
        <f t="shared" si="3"/>
        <v>Thu</v>
      </c>
      <c r="IM10" s="124" t="str">
        <f t="shared" si="3"/>
        <v>Fri</v>
      </c>
      <c r="IN10" s="124" t="str">
        <f t="shared" si="3"/>
        <v>Mon</v>
      </c>
      <c r="IO10" s="124" t="str">
        <f t="shared" si="3"/>
        <v>Tue</v>
      </c>
      <c r="IP10" s="124" t="str">
        <f t="shared" si="3"/>
        <v>Wed</v>
      </c>
      <c r="IQ10" s="124" t="str">
        <f t="shared" si="3"/>
        <v>Thu</v>
      </c>
      <c r="IR10" s="124" t="str">
        <f t="shared" si="3"/>
        <v>Fri</v>
      </c>
      <c r="IS10" s="124" t="str">
        <f t="shared" si="3"/>
        <v>Mon</v>
      </c>
      <c r="IT10" s="124" t="str">
        <f t="shared" si="3"/>
        <v>Tue</v>
      </c>
      <c r="IU10" s="124" t="str">
        <f t="shared" si="3"/>
        <v>Wed</v>
      </c>
      <c r="IV10" s="124" t="str">
        <f t="shared" si="3"/>
        <v>Thu</v>
      </c>
      <c r="IW10" s="124" t="str">
        <f t="shared" si="3"/>
        <v>Fri</v>
      </c>
      <c r="IX10" s="124" t="str">
        <f t="shared" si="3"/>
        <v>Mon</v>
      </c>
      <c r="IY10" s="124" t="str">
        <f t="shared" si="3"/>
        <v>Tue</v>
      </c>
      <c r="IZ10" s="124" t="str">
        <f t="shared" si="3"/>
        <v>Wed</v>
      </c>
      <c r="JA10" s="124" t="str">
        <f t="shared" si="3"/>
        <v>Thu</v>
      </c>
      <c r="JB10" s="124" t="str">
        <f t="shared" si="3"/>
        <v>Fri</v>
      </c>
      <c r="JC10" s="124" t="str">
        <f t="shared" si="3"/>
        <v>Mon</v>
      </c>
      <c r="JD10" s="124" t="str">
        <f t="shared" si="3"/>
        <v>Tue</v>
      </c>
      <c r="JE10" s="124" t="str">
        <f t="shared" si="3"/>
        <v>Wed</v>
      </c>
      <c r="JF10" s="124" t="str">
        <f t="shared" ref="JF10:JJ10" si="4">TEXT(JF11,"DDD")</f>
        <v>Thu</v>
      </c>
      <c r="JG10" s="124" t="str">
        <f t="shared" si="4"/>
        <v>Fri</v>
      </c>
      <c r="JH10" s="124" t="str">
        <f t="shared" si="4"/>
        <v>Mon</v>
      </c>
      <c r="JI10" s="124" t="str">
        <f t="shared" si="4"/>
        <v>Tue</v>
      </c>
      <c r="JJ10" s="124" t="str">
        <f t="shared" si="4"/>
        <v>Wed</v>
      </c>
      <c r="JK10" s="109"/>
    </row>
    <row r="11" spans="2:271" ht="16" customHeight="1" thickBot="1" x14ac:dyDescent="0.25">
      <c r="B11" s="107"/>
      <c r="C11" s="196"/>
      <c r="D11" s="197"/>
      <c r="E11" s="196"/>
      <c r="F11" s="197"/>
      <c r="G11" s="196"/>
      <c r="H11" s="197"/>
      <c r="I11" s="14"/>
      <c r="J11" s="183">
        <v>45658</v>
      </c>
      <c r="K11" s="184">
        <f>IF(TEXT(J11,"DDD")="Sat",J11+3,IF(TEXT(J11,"DDD")="Sun",J11+2,J11+1))</f>
        <v>45659</v>
      </c>
      <c r="L11" s="184">
        <f>IF(TEXT(K11,"DDD")="Sat",K11+3,IF(TEXT(K11,"DDD")="Sun",K11+2,K11+1))</f>
        <v>45660</v>
      </c>
      <c r="M11" s="184">
        <f t="shared" ref="M11:R11" si="5">IF(TEXT(L11,"DDD")="Fri",L11+3,IF(TEXT(L11,"DDD")="Sat",L11+2,L11+1))</f>
        <v>45663</v>
      </c>
      <c r="N11" s="184">
        <f t="shared" si="5"/>
        <v>45664</v>
      </c>
      <c r="O11" s="184">
        <f t="shared" si="5"/>
        <v>45665</v>
      </c>
      <c r="P11" s="184">
        <f t="shared" si="5"/>
        <v>45666</v>
      </c>
      <c r="Q11" s="184">
        <f t="shared" si="5"/>
        <v>45667</v>
      </c>
      <c r="R11" s="184">
        <f t="shared" si="5"/>
        <v>45670</v>
      </c>
      <c r="S11" s="184">
        <f t="shared" ref="S11:AC11" si="6">IF(TEXT(R11,"DDD")="Fri",R11+3,IF(TEXT(R11,"DDD")="Sat",R11+2,R11+1))</f>
        <v>45671</v>
      </c>
      <c r="T11" s="184">
        <f t="shared" si="6"/>
        <v>45672</v>
      </c>
      <c r="U11" s="184">
        <f t="shared" si="6"/>
        <v>45673</v>
      </c>
      <c r="V11" s="184">
        <f t="shared" si="6"/>
        <v>45674</v>
      </c>
      <c r="W11" s="184">
        <f t="shared" si="6"/>
        <v>45677</v>
      </c>
      <c r="X11" s="184">
        <f t="shared" si="6"/>
        <v>45678</v>
      </c>
      <c r="Y11" s="184">
        <f t="shared" si="6"/>
        <v>45679</v>
      </c>
      <c r="Z11" s="184">
        <f t="shared" si="6"/>
        <v>45680</v>
      </c>
      <c r="AA11" s="184">
        <f t="shared" si="6"/>
        <v>45681</v>
      </c>
      <c r="AB11" s="184">
        <f t="shared" si="6"/>
        <v>45684</v>
      </c>
      <c r="AC11" s="184">
        <f t="shared" si="6"/>
        <v>45685</v>
      </c>
      <c r="AD11" s="184">
        <f t="shared" ref="AD11:CG11" si="7">IF(TEXT(AC11,"DDD")="Fri",AC11+3,IF(TEXT(AC11,"DDD")="Sat",AC11+2,AC11+1))</f>
        <v>45686</v>
      </c>
      <c r="AE11" s="184">
        <f t="shared" si="7"/>
        <v>45687</v>
      </c>
      <c r="AF11" s="184">
        <f t="shared" si="7"/>
        <v>45688</v>
      </c>
      <c r="AG11" s="184">
        <f t="shared" si="7"/>
        <v>45691</v>
      </c>
      <c r="AH11" s="184">
        <f t="shared" si="7"/>
        <v>45692</v>
      </c>
      <c r="AI11" s="184">
        <f t="shared" si="7"/>
        <v>45693</v>
      </c>
      <c r="AJ11" s="184">
        <f t="shared" si="7"/>
        <v>45694</v>
      </c>
      <c r="AK11" s="184">
        <f t="shared" si="7"/>
        <v>45695</v>
      </c>
      <c r="AL11" s="184">
        <f t="shared" si="7"/>
        <v>45698</v>
      </c>
      <c r="AM11" s="184">
        <f t="shared" si="7"/>
        <v>45699</v>
      </c>
      <c r="AN11" s="184">
        <f t="shared" si="7"/>
        <v>45700</v>
      </c>
      <c r="AO11" s="184">
        <f t="shared" si="7"/>
        <v>45701</v>
      </c>
      <c r="AP11" s="184">
        <f t="shared" si="7"/>
        <v>45702</v>
      </c>
      <c r="AQ11" s="184">
        <f t="shared" si="7"/>
        <v>45705</v>
      </c>
      <c r="AR11" s="184">
        <f t="shared" si="7"/>
        <v>45706</v>
      </c>
      <c r="AS11" s="184">
        <f t="shared" si="7"/>
        <v>45707</v>
      </c>
      <c r="AT11" s="184">
        <f t="shared" si="7"/>
        <v>45708</v>
      </c>
      <c r="AU11" s="184">
        <f t="shared" si="7"/>
        <v>45709</v>
      </c>
      <c r="AV11" s="184">
        <f t="shared" si="7"/>
        <v>45712</v>
      </c>
      <c r="AW11" s="184">
        <f t="shared" si="7"/>
        <v>45713</v>
      </c>
      <c r="AX11" s="184">
        <f t="shared" si="7"/>
        <v>45714</v>
      </c>
      <c r="AY11" s="184">
        <f t="shared" si="7"/>
        <v>45715</v>
      </c>
      <c r="AZ11" s="184">
        <f t="shared" si="7"/>
        <v>45716</v>
      </c>
      <c r="BA11" s="184">
        <f t="shared" si="7"/>
        <v>45719</v>
      </c>
      <c r="BB11" s="184">
        <f t="shared" si="7"/>
        <v>45720</v>
      </c>
      <c r="BC11" s="184">
        <f t="shared" si="7"/>
        <v>45721</v>
      </c>
      <c r="BD11" s="184">
        <f t="shared" si="7"/>
        <v>45722</v>
      </c>
      <c r="BE11" s="184">
        <f t="shared" si="7"/>
        <v>45723</v>
      </c>
      <c r="BF11" s="184">
        <f t="shared" si="7"/>
        <v>45726</v>
      </c>
      <c r="BG11" s="184">
        <f t="shared" si="7"/>
        <v>45727</v>
      </c>
      <c r="BH11" s="184">
        <f t="shared" si="7"/>
        <v>45728</v>
      </c>
      <c r="BI11" s="184">
        <f t="shared" si="7"/>
        <v>45729</v>
      </c>
      <c r="BJ11" s="184">
        <f t="shared" si="7"/>
        <v>45730</v>
      </c>
      <c r="BK11" s="184">
        <f t="shared" si="7"/>
        <v>45733</v>
      </c>
      <c r="BL11" s="184">
        <f t="shared" si="7"/>
        <v>45734</v>
      </c>
      <c r="BM11" s="184">
        <f t="shared" si="7"/>
        <v>45735</v>
      </c>
      <c r="BN11" s="184">
        <f t="shared" si="7"/>
        <v>45736</v>
      </c>
      <c r="BO11" s="184">
        <f t="shared" si="7"/>
        <v>45737</v>
      </c>
      <c r="BP11" s="184">
        <f t="shared" si="7"/>
        <v>45740</v>
      </c>
      <c r="BQ11" s="184">
        <f t="shared" si="7"/>
        <v>45741</v>
      </c>
      <c r="BR11" s="184">
        <f t="shared" si="7"/>
        <v>45742</v>
      </c>
      <c r="BS11" s="184">
        <f t="shared" si="7"/>
        <v>45743</v>
      </c>
      <c r="BT11" s="184">
        <f t="shared" si="7"/>
        <v>45744</v>
      </c>
      <c r="BU11" s="184">
        <f t="shared" si="7"/>
        <v>45747</v>
      </c>
      <c r="BV11" s="184">
        <f t="shared" si="7"/>
        <v>45748</v>
      </c>
      <c r="BW11" s="184">
        <f t="shared" si="7"/>
        <v>45749</v>
      </c>
      <c r="BX11" s="184">
        <f t="shared" si="7"/>
        <v>45750</v>
      </c>
      <c r="BY11" s="184">
        <f t="shared" si="7"/>
        <v>45751</v>
      </c>
      <c r="BZ11" s="184">
        <f t="shared" si="7"/>
        <v>45754</v>
      </c>
      <c r="CA11" s="184">
        <f t="shared" si="7"/>
        <v>45755</v>
      </c>
      <c r="CB11" s="184">
        <f t="shared" si="7"/>
        <v>45756</v>
      </c>
      <c r="CC11" s="184">
        <f t="shared" si="7"/>
        <v>45757</v>
      </c>
      <c r="CD11" s="184">
        <f t="shared" si="7"/>
        <v>45758</v>
      </c>
      <c r="CE11" s="184">
        <f t="shared" si="7"/>
        <v>45761</v>
      </c>
      <c r="CF11" s="184">
        <f t="shared" si="7"/>
        <v>45762</v>
      </c>
      <c r="CG11" s="184">
        <f t="shared" si="7"/>
        <v>45763</v>
      </c>
      <c r="CH11" s="184">
        <f t="shared" ref="CH11:EP11" si="8">IF(TEXT(CG11,"DDD")="Fri",CG11+3,IF(TEXT(CG11,"DDD")="Sat",CG11+2,CG11+1))</f>
        <v>45764</v>
      </c>
      <c r="CI11" s="184">
        <f t="shared" si="8"/>
        <v>45765</v>
      </c>
      <c r="CJ11" s="184">
        <f t="shared" si="8"/>
        <v>45768</v>
      </c>
      <c r="CK11" s="184">
        <f t="shared" si="8"/>
        <v>45769</v>
      </c>
      <c r="CL11" s="184">
        <f t="shared" si="8"/>
        <v>45770</v>
      </c>
      <c r="CM11" s="184">
        <f t="shared" si="8"/>
        <v>45771</v>
      </c>
      <c r="CN11" s="184">
        <f t="shared" si="8"/>
        <v>45772</v>
      </c>
      <c r="CO11" s="184">
        <f t="shared" si="8"/>
        <v>45775</v>
      </c>
      <c r="CP11" s="184">
        <f t="shared" si="8"/>
        <v>45776</v>
      </c>
      <c r="CQ11" s="184">
        <f t="shared" si="8"/>
        <v>45777</v>
      </c>
      <c r="CR11" s="184">
        <f t="shared" si="8"/>
        <v>45778</v>
      </c>
      <c r="CS11" s="184">
        <f t="shared" si="8"/>
        <v>45779</v>
      </c>
      <c r="CT11" s="184">
        <f t="shared" si="8"/>
        <v>45782</v>
      </c>
      <c r="CU11" s="184">
        <f t="shared" si="8"/>
        <v>45783</v>
      </c>
      <c r="CV11" s="184">
        <f t="shared" si="8"/>
        <v>45784</v>
      </c>
      <c r="CW11" s="184">
        <f t="shared" si="8"/>
        <v>45785</v>
      </c>
      <c r="CX11" s="184">
        <f t="shared" si="8"/>
        <v>45786</v>
      </c>
      <c r="CY11" s="184">
        <f t="shared" si="8"/>
        <v>45789</v>
      </c>
      <c r="CZ11" s="184">
        <f t="shared" si="8"/>
        <v>45790</v>
      </c>
      <c r="DA11" s="184">
        <f t="shared" si="8"/>
        <v>45791</v>
      </c>
      <c r="DB11" s="184">
        <f t="shared" si="8"/>
        <v>45792</v>
      </c>
      <c r="DC11" s="184">
        <f t="shared" si="8"/>
        <v>45793</v>
      </c>
      <c r="DD11" s="184">
        <f t="shared" si="8"/>
        <v>45796</v>
      </c>
      <c r="DE11" s="184">
        <f t="shared" si="8"/>
        <v>45797</v>
      </c>
      <c r="DF11" s="184">
        <f t="shared" si="8"/>
        <v>45798</v>
      </c>
      <c r="DG11" s="184">
        <f t="shared" si="8"/>
        <v>45799</v>
      </c>
      <c r="DH11" s="184">
        <f t="shared" si="8"/>
        <v>45800</v>
      </c>
      <c r="DI11" s="184">
        <f t="shared" si="8"/>
        <v>45803</v>
      </c>
      <c r="DJ11" s="184">
        <f t="shared" si="8"/>
        <v>45804</v>
      </c>
      <c r="DK11" s="184">
        <f t="shared" si="8"/>
        <v>45805</v>
      </c>
      <c r="DL11" s="184">
        <f t="shared" si="8"/>
        <v>45806</v>
      </c>
      <c r="DM11" s="184">
        <f t="shared" si="8"/>
        <v>45807</v>
      </c>
      <c r="DN11" s="184">
        <f t="shared" si="8"/>
        <v>45810</v>
      </c>
      <c r="DO11" s="184">
        <f t="shared" si="8"/>
        <v>45811</v>
      </c>
      <c r="DP11" s="184">
        <f t="shared" si="8"/>
        <v>45812</v>
      </c>
      <c r="DQ11" s="184">
        <f t="shared" si="8"/>
        <v>45813</v>
      </c>
      <c r="DR11" s="184">
        <f t="shared" si="8"/>
        <v>45814</v>
      </c>
      <c r="DS11" s="184">
        <f t="shared" si="8"/>
        <v>45817</v>
      </c>
      <c r="DT11" s="184">
        <f t="shared" si="8"/>
        <v>45818</v>
      </c>
      <c r="DU11" s="184">
        <f t="shared" si="8"/>
        <v>45819</v>
      </c>
      <c r="DV11" s="184">
        <f t="shared" si="8"/>
        <v>45820</v>
      </c>
      <c r="DW11" s="184">
        <f t="shared" si="8"/>
        <v>45821</v>
      </c>
      <c r="DX11" s="184">
        <f t="shared" si="8"/>
        <v>45824</v>
      </c>
      <c r="DY11" s="184">
        <f t="shared" si="8"/>
        <v>45825</v>
      </c>
      <c r="DZ11" s="184">
        <f t="shared" si="8"/>
        <v>45826</v>
      </c>
      <c r="EA11" s="184">
        <f t="shared" si="8"/>
        <v>45827</v>
      </c>
      <c r="EB11" s="184">
        <f t="shared" si="8"/>
        <v>45828</v>
      </c>
      <c r="EC11" s="184">
        <f t="shared" si="8"/>
        <v>45831</v>
      </c>
      <c r="ED11" s="184">
        <f t="shared" si="8"/>
        <v>45832</v>
      </c>
      <c r="EE11" s="184">
        <f t="shared" si="8"/>
        <v>45833</v>
      </c>
      <c r="EF11" s="184">
        <f t="shared" si="8"/>
        <v>45834</v>
      </c>
      <c r="EG11" s="184">
        <f t="shared" si="8"/>
        <v>45835</v>
      </c>
      <c r="EH11" s="184">
        <f t="shared" si="8"/>
        <v>45838</v>
      </c>
      <c r="EI11" s="184">
        <f t="shared" si="8"/>
        <v>45839</v>
      </c>
      <c r="EJ11" s="184">
        <f t="shared" si="8"/>
        <v>45840</v>
      </c>
      <c r="EK11" s="184">
        <f t="shared" si="8"/>
        <v>45841</v>
      </c>
      <c r="EL11" s="184">
        <f t="shared" si="8"/>
        <v>45842</v>
      </c>
      <c r="EM11" s="184">
        <f t="shared" si="8"/>
        <v>45845</v>
      </c>
      <c r="EN11" s="184">
        <f t="shared" si="8"/>
        <v>45846</v>
      </c>
      <c r="EO11" s="184">
        <f t="shared" si="8"/>
        <v>45847</v>
      </c>
      <c r="EP11" s="184">
        <f t="shared" si="8"/>
        <v>45848</v>
      </c>
      <c r="EQ11" s="184">
        <f>IF(TEXT(EP11,"DDD")="Fri",EP11+3,IF(TEXT(EP11,"DDD")="Sat",EP11+2,EP11+1))</f>
        <v>45849</v>
      </c>
      <c r="ER11" s="184">
        <f t="shared" ref="ER11:FS11" si="9">IF(TEXT(EQ11,"DDD")="Fri",EQ11+3,IF(TEXT(EQ11,"DDD")="Sat",EQ11+2,EQ11+1))</f>
        <v>45852</v>
      </c>
      <c r="ES11" s="184">
        <f t="shared" si="9"/>
        <v>45853</v>
      </c>
      <c r="ET11" s="184">
        <f t="shared" si="9"/>
        <v>45854</v>
      </c>
      <c r="EU11" s="184">
        <f t="shared" si="9"/>
        <v>45855</v>
      </c>
      <c r="EV11" s="184">
        <f t="shared" si="9"/>
        <v>45856</v>
      </c>
      <c r="EW11" s="184">
        <f t="shared" si="9"/>
        <v>45859</v>
      </c>
      <c r="EX11" s="184">
        <f t="shared" si="9"/>
        <v>45860</v>
      </c>
      <c r="EY11" s="184">
        <f t="shared" si="9"/>
        <v>45861</v>
      </c>
      <c r="EZ11" s="184">
        <f t="shared" si="9"/>
        <v>45862</v>
      </c>
      <c r="FA11" s="184">
        <f t="shared" si="9"/>
        <v>45863</v>
      </c>
      <c r="FB11" s="184">
        <f t="shared" si="9"/>
        <v>45866</v>
      </c>
      <c r="FC11" s="184">
        <f t="shared" si="9"/>
        <v>45867</v>
      </c>
      <c r="FD11" s="184">
        <f t="shared" si="9"/>
        <v>45868</v>
      </c>
      <c r="FE11" s="184">
        <f t="shared" si="9"/>
        <v>45869</v>
      </c>
      <c r="FF11" s="184">
        <f t="shared" si="9"/>
        <v>45870</v>
      </c>
      <c r="FG11" s="184">
        <f t="shared" si="9"/>
        <v>45873</v>
      </c>
      <c r="FH11" s="184">
        <f t="shared" si="9"/>
        <v>45874</v>
      </c>
      <c r="FI11" s="184">
        <f t="shared" si="9"/>
        <v>45875</v>
      </c>
      <c r="FJ11" s="184">
        <f t="shared" si="9"/>
        <v>45876</v>
      </c>
      <c r="FK11" s="184">
        <f t="shared" si="9"/>
        <v>45877</v>
      </c>
      <c r="FL11" s="184">
        <f t="shared" si="9"/>
        <v>45880</v>
      </c>
      <c r="FM11" s="184">
        <f t="shared" si="9"/>
        <v>45881</v>
      </c>
      <c r="FN11" s="184">
        <f t="shared" si="9"/>
        <v>45882</v>
      </c>
      <c r="FO11" s="184">
        <f t="shared" si="9"/>
        <v>45883</v>
      </c>
      <c r="FP11" s="184">
        <f t="shared" si="9"/>
        <v>45884</v>
      </c>
      <c r="FQ11" s="184">
        <f t="shared" si="9"/>
        <v>45887</v>
      </c>
      <c r="FR11" s="184">
        <f t="shared" si="9"/>
        <v>45888</v>
      </c>
      <c r="FS11" s="184">
        <f t="shared" si="9"/>
        <v>45889</v>
      </c>
      <c r="FT11" s="184">
        <f>IF(TEXT(FS11,"DDD")="Fri",FS11+3,IF(TEXT(FS11,"DDD")="Sat",FS11+2,FS11+1))</f>
        <v>45890</v>
      </c>
      <c r="FU11" s="184">
        <f t="shared" ref="FU11:IF11" si="10">IF(TEXT(FT11,"DDD")="Fri",FT11+3,IF(TEXT(FT11,"DDD")="Sat",FT11+2,FT11+1))</f>
        <v>45891</v>
      </c>
      <c r="FV11" s="184">
        <f t="shared" si="10"/>
        <v>45894</v>
      </c>
      <c r="FW11" s="184">
        <f t="shared" si="10"/>
        <v>45895</v>
      </c>
      <c r="FX11" s="184">
        <f t="shared" si="10"/>
        <v>45896</v>
      </c>
      <c r="FY11" s="184">
        <f t="shared" si="10"/>
        <v>45897</v>
      </c>
      <c r="FZ11" s="184">
        <f t="shared" si="10"/>
        <v>45898</v>
      </c>
      <c r="GA11" s="184">
        <f t="shared" si="10"/>
        <v>45901</v>
      </c>
      <c r="GB11" s="184">
        <f t="shared" si="10"/>
        <v>45902</v>
      </c>
      <c r="GC11" s="184">
        <f t="shared" si="10"/>
        <v>45903</v>
      </c>
      <c r="GD11" s="184">
        <f t="shared" si="10"/>
        <v>45904</v>
      </c>
      <c r="GE11" s="184">
        <f t="shared" si="10"/>
        <v>45905</v>
      </c>
      <c r="GF11" s="184">
        <f t="shared" si="10"/>
        <v>45908</v>
      </c>
      <c r="GG11" s="184">
        <f t="shared" si="10"/>
        <v>45909</v>
      </c>
      <c r="GH11" s="184">
        <f t="shared" si="10"/>
        <v>45910</v>
      </c>
      <c r="GI11" s="184">
        <f t="shared" si="10"/>
        <v>45911</v>
      </c>
      <c r="GJ11" s="184">
        <f t="shared" si="10"/>
        <v>45912</v>
      </c>
      <c r="GK11" s="184">
        <f t="shared" si="10"/>
        <v>45915</v>
      </c>
      <c r="GL11" s="184">
        <f t="shared" si="10"/>
        <v>45916</v>
      </c>
      <c r="GM11" s="184">
        <f t="shared" si="10"/>
        <v>45917</v>
      </c>
      <c r="GN11" s="184">
        <f t="shared" si="10"/>
        <v>45918</v>
      </c>
      <c r="GO11" s="184">
        <f t="shared" si="10"/>
        <v>45919</v>
      </c>
      <c r="GP11" s="184">
        <f t="shared" si="10"/>
        <v>45922</v>
      </c>
      <c r="GQ11" s="184">
        <f t="shared" si="10"/>
        <v>45923</v>
      </c>
      <c r="GR11" s="184">
        <f t="shared" si="10"/>
        <v>45924</v>
      </c>
      <c r="GS11" s="184">
        <f t="shared" si="10"/>
        <v>45925</v>
      </c>
      <c r="GT11" s="184">
        <f t="shared" si="10"/>
        <v>45926</v>
      </c>
      <c r="GU11" s="184">
        <f t="shared" si="10"/>
        <v>45929</v>
      </c>
      <c r="GV11" s="184">
        <f t="shared" si="10"/>
        <v>45930</v>
      </c>
      <c r="GW11" s="184">
        <f t="shared" si="10"/>
        <v>45931</v>
      </c>
      <c r="GX11" s="184">
        <f t="shared" si="10"/>
        <v>45932</v>
      </c>
      <c r="GY11" s="184">
        <f t="shared" si="10"/>
        <v>45933</v>
      </c>
      <c r="GZ11" s="184">
        <f t="shared" si="10"/>
        <v>45936</v>
      </c>
      <c r="HA11" s="184">
        <f t="shared" si="10"/>
        <v>45937</v>
      </c>
      <c r="HB11" s="184">
        <f t="shared" si="10"/>
        <v>45938</v>
      </c>
      <c r="HC11" s="184">
        <f t="shared" si="10"/>
        <v>45939</v>
      </c>
      <c r="HD11" s="184">
        <f t="shared" si="10"/>
        <v>45940</v>
      </c>
      <c r="HE11" s="184">
        <f t="shared" si="10"/>
        <v>45943</v>
      </c>
      <c r="HF11" s="184">
        <f t="shared" si="10"/>
        <v>45944</v>
      </c>
      <c r="HG11" s="184">
        <f t="shared" si="10"/>
        <v>45945</v>
      </c>
      <c r="HH11" s="184">
        <f t="shared" si="10"/>
        <v>45946</v>
      </c>
      <c r="HI11" s="184">
        <f t="shared" si="10"/>
        <v>45947</v>
      </c>
      <c r="HJ11" s="184">
        <f t="shared" si="10"/>
        <v>45950</v>
      </c>
      <c r="HK11" s="184">
        <f t="shared" si="10"/>
        <v>45951</v>
      </c>
      <c r="HL11" s="184">
        <f t="shared" si="10"/>
        <v>45952</v>
      </c>
      <c r="HM11" s="184">
        <f t="shared" si="10"/>
        <v>45953</v>
      </c>
      <c r="HN11" s="184">
        <f t="shared" si="10"/>
        <v>45954</v>
      </c>
      <c r="HO11" s="184">
        <f t="shared" si="10"/>
        <v>45957</v>
      </c>
      <c r="HP11" s="184">
        <f t="shared" si="10"/>
        <v>45958</v>
      </c>
      <c r="HQ11" s="184">
        <f t="shared" si="10"/>
        <v>45959</v>
      </c>
      <c r="HR11" s="184">
        <f t="shared" si="10"/>
        <v>45960</v>
      </c>
      <c r="HS11" s="184">
        <f t="shared" si="10"/>
        <v>45961</v>
      </c>
      <c r="HT11" s="184">
        <f t="shared" si="10"/>
        <v>45964</v>
      </c>
      <c r="HU11" s="184">
        <f t="shared" si="10"/>
        <v>45965</v>
      </c>
      <c r="HV11" s="184">
        <f t="shared" si="10"/>
        <v>45966</v>
      </c>
      <c r="HW11" s="184">
        <f t="shared" si="10"/>
        <v>45967</v>
      </c>
      <c r="HX11" s="184">
        <f t="shared" si="10"/>
        <v>45968</v>
      </c>
      <c r="HY11" s="184">
        <f t="shared" si="10"/>
        <v>45971</v>
      </c>
      <c r="HZ11" s="184">
        <f t="shared" si="10"/>
        <v>45972</v>
      </c>
      <c r="IA11" s="184">
        <f t="shared" si="10"/>
        <v>45973</v>
      </c>
      <c r="IB11" s="184">
        <f t="shared" si="10"/>
        <v>45974</v>
      </c>
      <c r="IC11" s="184">
        <f t="shared" si="10"/>
        <v>45975</v>
      </c>
      <c r="ID11" s="184">
        <f t="shared" si="10"/>
        <v>45978</v>
      </c>
      <c r="IE11" s="184">
        <f t="shared" si="10"/>
        <v>45979</v>
      </c>
      <c r="IF11" s="184">
        <f t="shared" si="10"/>
        <v>45980</v>
      </c>
      <c r="IG11" s="184">
        <f t="shared" ref="IG11:IY11" si="11">IF(TEXT(IF11,"DDD")="Fri",IF11+3,IF(TEXT(IF11,"DDD")="Sat",IF11+2,IF11+1))</f>
        <v>45981</v>
      </c>
      <c r="IH11" s="184">
        <f t="shared" si="11"/>
        <v>45982</v>
      </c>
      <c r="II11" s="184">
        <f t="shared" si="11"/>
        <v>45985</v>
      </c>
      <c r="IJ11" s="184">
        <f t="shared" si="11"/>
        <v>45986</v>
      </c>
      <c r="IK11" s="184">
        <f t="shared" si="11"/>
        <v>45987</v>
      </c>
      <c r="IL11" s="184">
        <f t="shared" si="11"/>
        <v>45988</v>
      </c>
      <c r="IM11" s="184">
        <f t="shared" si="11"/>
        <v>45989</v>
      </c>
      <c r="IN11" s="184">
        <f t="shared" si="11"/>
        <v>45992</v>
      </c>
      <c r="IO11" s="184">
        <f t="shared" si="11"/>
        <v>45993</v>
      </c>
      <c r="IP11" s="184">
        <f t="shared" si="11"/>
        <v>45994</v>
      </c>
      <c r="IQ11" s="184">
        <f t="shared" si="11"/>
        <v>45995</v>
      </c>
      <c r="IR11" s="184">
        <f t="shared" si="11"/>
        <v>45996</v>
      </c>
      <c r="IS11" s="184">
        <f t="shared" si="11"/>
        <v>45999</v>
      </c>
      <c r="IT11" s="184">
        <f t="shared" si="11"/>
        <v>46000</v>
      </c>
      <c r="IU11" s="184">
        <f t="shared" si="11"/>
        <v>46001</v>
      </c>
      <c r="IV11" s="184">
        <f t="shared" si="11"/>
        <v>46002</v>
      </c>
      <c r="IW11" s="184">
        <f t="shared" si="11"/>
        <v>46003</v>
      </c>
      <c r="IX11" s="184">
        <f t="shared" si="11"/>
        <v>46006</v>
      </c>
      <c r="IY11" s="184">
        <f t="shared" si="11"/>
        <v>46007</v>
      </c>
      <c r="IZ11" s="184">
        <f>IF(TEXT(IY11,"DDD")="Fri",IY11+3,IF(TEXT(IY11,"DDD")="Sat",IY11+2,IY11+1))</f>
        <v>46008</v>
      </c>
      <c r="JA11" s="184">
        <f t="shared" ref="JA11:JJ11" si="12">IF(TEXT(IZ11,"DDD")="Fri",IZ11+3,IF(TEXT(IZ11,"DDD")="Sat",IZ11+2,IZ11+1))</f>
        <v>46009</v>
      </c>
      <c r="JB11" s="184">
        <f t="shared" si="12"/>
        <v>46010</v>
      </c>
      <c r="JC11" s="184">
        <f t="shared" si="12"/>
        <v>46013</v>
      </c>
      <c r="JD11" s="184">
        <f t="shared" si="12"/>
        <v>46014</v>
      </c>
      <c r="JE11" s="184">
        <f t="shared" si="12"/>
        <v>46015</v>
      </c>
      <c r="JF11" s="184">
        <f t="shared" si="12"/>
        <v>46016</v>
      </c>
      <c r="JG11" s="184">
        <f t="shared" si="12"/>
        <v>46017</v>
      </c>
      <c r="JH11" s="184">
        <f t="shared" si="12"/>
        <v>46020</v>
      </c>
      <c r="JI11" s="184">
        <f t="shared" si="12"/>
        <v>46021</v>
      </c>
      <c r="JJ11" s="184">
        <f t="shared" si="12"/>
        <v>46022</v>
      </c>
      <c r="JK11" s="109"/>
    </row>
    <row r="12" spans="2:271" ht="17" thickBot="1" x14ac:dyDescent="0.25">
      <c r="B12" s="107"/>
      <c r="C12" s="309">
        <v>111</v>
      </c>
      <c r="D12" s="310"/>
      <c r="E12" s="311" t="s">
        <v>40</v>
      </c>
      <c r="F12" s="312"/>
      <c r="G12" s="313">
        <v>45894</v>
      </c>
      <c r="H12" s="312"/>
      <c r="I12" s="13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09"/>
    </row>
    <row r="13" spans="2:271" x14ac:dyDescent="0.2">
      <c r="B13" s="10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3"/>
      <c r="BF13" s="113"/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3"/>
      <c r="CF13" s="113"/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3"/>
      <c r="CZ13" s="113"/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3"/>
      <c r="DR13" s="113"/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3"/>
      <c r="EI13" s="113"/>
      <c r="EJ13" s="113"/>
      <c r="EK13" s="113"/>
      <c r="EL13" s="113"/>
      <c r="EM13" s="113"/>
      <c r="EN13" s="113"/>
      <c r="EO13" s="113"/>
      <c r="EP13" s="113"/>
      <c r="EQ13" s="113"/>
      <c r="ER13" s="113"/>
      <c r="ES13" s="113"/>
      <c r="ET13" s="113"/>
      <c r="EU13" s="113"/>
      <c r="EV13" s="113"/>
      <c r="EW13" s="113"/>
      <c r="EX13" s="113"/>
      <c r="EY13" s="113"/>
      <c r="EZ13" s="113"/>
      <c r="FA13" s="113"/>
      <c r="FB13" s="113"/>
      <c r="FC13" s="113"/>
      <c r="FD13" s="113"/>
      <c r="FE13" s="113"/>
      <c r="FF13" s="113"/>
      <c r="FG13" s="113"/>
      <c r="FH13" s="113"/>
      <c r="FI13" s="113"/>
      <c r="FJ13" s="113"/>
      <c r="FK13" s="113"/>
      <c r="FL13" s="113"/>
      <c r="FM13" s="113"/>
      <c r="FN13" s="113"/>
      <c r="FO13" s="113"/>
      <c r="FP13" s="113"/>
      <c r="FQ13" s="113"/>
      <c r="FR13" s="113"/>
      <c r="FS13" s="113"/>
      <c r="FT13" s="113"/>
      <c r="FU13" s="113"/>
      <c r="FV13" s="113"/>
      <c r="FW13" s="113"/>
      <c r="FX13" s="113"/>
      <c r="FY13" s="113"/>
      <c r="FZ13" s="113"/>
      <c r="GA13" s="113"/>
      <c r="GB13" s="113"/>
      <c r="GC13" s="113"/>
      <c r="GD13" s="113"/>
      <c r="GE13" s="113"/>
      <c r="GF13" s="113"/>
      <c r="GG13" s="113"/>
      <c r="GH13" s="113"/>
      <c r="GI13" s="113"/>
      <c r="GJ13" s="113"/>
      <c r="GK13" s="113"/>
      <c r="GL13" s="113"/>
      <c r="GM13" s="113"/>
      <c r="GN13" s="113"/>
      <c r="GO13" s="113"/>
      <c r="GP13" s="113"/>
      <c r="GQ13" s="113"/>
      <c r="GR13" s="113"/>
      <c r="GS13" s="113"/>
      <c r="GT13" s="113"/>
      <c r="GU13" s="113"/>
      <c r="GV13" s="113"/>
      <c r="GW13" s="113"/>
      <c r="GX13" s="113"/>
      <c r="GY13" s="113"/>
      <c r="GZ13" s="113"/>
      <c r="HA13" s="113"/>
      <c r="HB13" s="113"/>
      <c r="HC13" s="113"/>
      <c r="HD13" s="113"/>
      <c r="HE13" s="113"/>
      <c r="HF13" s="113"/>
      <c r="HG13" s="113"/>
      <c r="HH13" s="113"/>
      <c r="HI13" s="113"/>
      <c r="HJ13" s="113"/>
      <c r="HK13" s="113"/>
      <c r="HL13" s="113"/>
      <c r="HM13" s="113"/>
      <c r="HN13" s="113"/>
      <c r="HO13" s="113"/>
      <c r="HP13" s="113"/>
      <c r="HQ13" s="113"/>
      <c r="HR13" s="113"/>
      <c r="HS13" s="113"/>
      <c r="HT13" s="113"/>
      <c r="HU13" s="113"/>
      <c r="HV13" s="113"/>
      <c r="HW13" s="113"/>
      <c r="HX13" s="113"/>
      <c r="HY13" s="113"/>
      <c r="HZ13" s="113"/>
      <c r="IA13" s="113"/>
      <c r="IB13" s="113"/>
      <c r="IC13" s="113"/>
      <c r="ID13" s="113"/>
      <c r="IE13" s="113"/>
      <c r="IF13" s="113"/>
      <c r="IG13" s="113"/>
      <c r="IH13" s="113"/>
      <c r="II13" s="113"/>
      <c r="IJ13" s="113"/>
      <c r="IK13" s="113"/>
      <c r="IL13" s="113"/>
      <c r="IM13" s="113"/>
      <c r="IN13" s="113"/>
      <c r="IO13" s="113"/>
      <c r="IP13" s="113"/>
      <c r="IQ13" s="113"/>
      <c r="IR13" s="113"/>
      <c r="IS13" s="113"/>
      <c r="IT13" s="113"/>
      <c r="IU13" s="113"/>
      <c r="IV13" s="113"/>
      <c r="IW13" s="113"/>
      <c r="IX13" s="113"/>
      <c r="IY13" s="113"/>
      <c r="IZ13" s="113"/>
      <c r="JA13" s="113"/>
      <c r="JB13" s="113"/>
      <c r="JC13" s="113"/>
      <c r="JD13" s="113"/>
      <c r="JE13" s="113"/>
      <c r="JF13" s="113"/>
      <c r="JG13" s="113"/>
      <c r="JH13" s="113"/>
      <c r="JI13" s="113"/>
      <c r="JJ13" s="113"/>
      <c r="JK13" s="109"/>
    </row>
    <row r="14" spans="2:271" ht="17" thickBot="1" x14ac:dyDescent="0.25">
      <c r="B14" s="110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4"/>
      <c r="CR14" s="114"/>
      <c r="CS14" s="114"/>
      <c r="CT14" s="114"/>
      <c r="CU14" s="114"/>
      <c r="CV14" s="114"/>
      <c r="CW14" s="114"/>
      <c r="CX14" s="114"/>
      <c r="CY14" s="114"/>
      <c r="CZ14" s="114"/>
      <c r="DA14" s="114"/>
      <c r="DB14" s="114"/>
      <c r="DC14" s="114"/>
      <c r="DD14" s="114"/>
      <c r="DE14" s="114"/>
      <c r="DF14" s="114"/>
      <c r="DG14" s="114"/>
      <c r="DH14" s="114"/>
      <c r="DI14" s="114"/>
      <c r="DJ14" s="114"/>
      <c r="DK14" s="114"/>
      <c r="DL14" s="114"/>
      <c r="DM14" s="114"/>
      <c r="DN14" s="114"/>
      <c r="DO14" s="114"/>
      <c r="DP14" s="114"/>
      <c r="DQ14" s="114"/>
      <c r="DR14" s="114"/>
      <c r="DS14" s="114"/>
      <c r="DT14" s="114"/>
      <c r="DU14" s="114"/>
      <c r="DV14" s="114"/>
      <c r="DW14" s="114"/>
      <c r="DX14" s="114"/>
      <c r="DY14" s="114"/>
      <c r="DZ14" s="114"/>
      <c r="EA14" s="114"/>
      <c r="EB14" s="114"/>
      <c r="EC14" s="114"/>
      <c r="ED14" s="114"/>
      <c r="EE14" s="114"/>
      <c r="EF14" s="114"/>
      <c r="EG14" s="114"/>
      <c r="EH14" s="114"/>
      <c r="EI14" s="114"/>
      <c r="EJ14" s="114"/>
      <c r="EK14" s="114"/>
      <c r="EL14" s="114"/>
      <c r="EM14" s="114"/>
      <c r="EN14" s="114"/>
      <c r="EO14" s="114"/>
      <c r="EP14" s="114"/>
      <c r="EQ14" s="114"/>
      <c r="ER14" s="114"/>
      <c r="ES14" s="114"/>
      <c r="ET14" s="114"/>
      <c r="EU14" s="114"/>
      <c r="EV14" s="114"/>
      <c r="EW14" s="114"/>
      <c r="EX14" s="114"/>
      <c r="EY14" s="114"/>
      <c r="EZ14" s="114"/>
      <c r="FA14" s="114"/>
      <c r="FB14" s="114"/>
      <c r="FC14" s="114"/>
      <c r="FD14" s="114"/>
      <c r="FE14" s="114"/>
      <c r="FF14" s="114"/>
      <c r="FG14" s="114"/>
      <c r="FH14" s="114"/>
      <c r="FI14" s="114"/>
      <c r="FJ14" s="114"/>
      <c r="FK14" s="114"/>
      <c r="FL14" s="114"/>
      <c r="FM14" s="114"/>
      <c r="FN14" s="114"/>
      <c r="FO14" s="114"/>
      <c r="FP14" s="114"/>
      <c r="FQ14" s="114"/>
      <c r="FR14" s="114"/>
      <c r="FS14" s="114"/>
      <c r="FT14" s="114"/>
      <c r="FU14" s="114"/>
      <c r="FV14" s="114"/>
      <c r="FW14" s="114"/>
      <c r="FX14" s="114"/>
      <c r="FY14" s="114"/>
      <c r="FZ14" s="114"/>
      <c r="GA14" s="114"/>
      <c r="GB14" s="114"/>
      <c r="GC14" s="114"/>
      <c r="GD14" s="114"/>
      <c r="GE14" s="114"/>
      <c r="GF14" s="114"/>
      <c r="GG14" s="114"/>
      <c r="GH14" s="114"/>
      <c r="GI14" s="114"/>
      <c r="GJ14" s="114"/>
      <c r="GK14" s="114"/>
      <c r="GL14" s="114"/>
      <c r="GM14" s="114"/>
      <c r="GN14" s="114"/>
      <c r="GO14" s="114"/>
      <c r="GP14" s="114"/>
      <c r="GQ14" s="114"/>
      <c r="GR14" s="114"/>
      <c r="GS14" s="114"/>
      <c r="GT14" s="114"/>
      <c r="GU14" s="114"/>
      <c r="GV14" s="114"/>
      <c r="GW14" s="114"/>
      <c r="GX14" s="114"/>
      <c r="GY14" s="114"/>
      <c r="GZ14" s="114"/>
      <c r="HA14" s="114"/>
      <c r="HB14" s="114"/>
      <c r="HC14" s="114"/>
      <c r="HD14" s="114"/>
      <c r="HE14" s="114"/>
      <c r="HF14" s="114"/>
      <c r="HG14" s="114"/>
      <c r="HH14" s="114"/>
      <c r="HI14" s="114"/>
      <c r="HJ14" s="114"/>
      <c r="HK14" s="114"/>
      <c r="HL14" s="114"/>
      <c r="HM14" s="114"/>
      <c r="HN14" s="114"/>
      <c r="HO14" s="114"/>
      <c r="HP14" s="114"/>
      <c r="HQ14" s="114"/>
      <c r="HR14" s="114"/>
      <c r="HS14" s="114"/>
      <c r="HT14" s="114"/>
      <c r="HU14" s="114"/>
      <c r="HV14" s="114"/>
      <c r="HW14" s="114"/>
      <c r="HX14" s="114"/>
      <c r="HY14" s="114"/>
      <c r="HZ14" s="114"/>
      <c r="IA14" s="114"/>
      <c r="IB14" s="114"/>
      <c r="IC14" s="114"/>
      <c r="ID14" s="114"/>
      <c r="IE14" s="114"/>
      <c r="IF14" s="114"/>
      <c r="IG14" s="114"/>
      <c r="IH14" s="114"/>
      <c r="II14" s="114"/>
      <c r="IJ14" s="114"/>
      <c r="IK14" s="114"/>
      <c r="IL14" s="114"/>
      <c r="IM14" s="114"/>
      <c r="IN14" s="114"/>
      <c r="IO14" s="114"/>
      <c r="IP14" s="114"/>
      <c r="IQ14" s="114"/>
      <c r="IR14" s="114"/>
      <c r="IS14" s="114"/>
      <c r="IT14" s="114"/>
      <c r="IU14" s="114"/>
      <c r="IV14" s="114"/>
      <c r="IW14" s="114"/>
      <c r="IX14" s="114"/>
      <c r="IY14" s="114"/>
      <c r="IZ14" s="114"/>
      <c r="JA14" s="114"/>
      <c r="JB14" s="114"/>
      <c r="JC14" s="114"/>
      <c r="JD14" s="114"/>
      <c r="JE14" s="114"/>
      <c r="JF14" s="114"/>
      <c r="JG14" s="114"/>
      <c r="JH14" s="114"/>
      <c r="JI14" s="114"/>
      <c r="JJ14" s="114"/>
      <c r="JK14" s="112"/>
    </row>
    <row r="15" spans="2:271" ht="18" thickTop="1" thickBot="1" x14ac:dyDescent="0.25">
      <c r="B15" s="4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6"/>
    </row>
    <row r="18" spans="2:22" ht="17" thickBot="1" x14ac:dyDescent="0.25"/>
    <row r="19" spans="2:22" ht="16" customHeight="1" x14ac:dyDescent="0.2">
      <c r="B19" s="185"/>
      <c r="C19" s="298" t="s">
        <v>46</v>
      </c>
      <c r="D19" s="298"/>
      <c r="E19" s="298"/>
      <c r="F19" s="298"/>
      <c r="G19" s="298"/>
      <c r="H19" s="298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06"/>
    </row>
    <row r="20" spans="2:22" ht="16" customHeight="1" x14ac:dyDescent="0.2">
      <c r="B20" s="186"/>
      <c r="C20" s="299"/>
      <c r="D20" s="299"/>
      <c r="E20" s="299"/>
      <c r="F20" s="299"/>
      <c r="G20" s="299"/>
      <c r="H20" s="299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09"/>
    </row>
    <row r="21" spans="2:22" ht="16" customHeight="1" x14ac:dyDescent="0.2">
      <c r="B21" s="186"/>
      <c r="C21" s="299"/>
      <c r="D21" s="299"/>
      <c r="E21" s="299"/>
      <c r="F21" s="299"/>
      <c r="G21" s="299"/>
      <c r="H21" s="299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09"/>
    </row>
    <row r="22" spans="2:22" ht="16" customHeight="1" x14ac:dyDescent="0.2">
      <c r="B22" s="186"/>
      <c r="C22" s="299"/>
      <c r="D22" s="299"/>
      <c r="E22" s="299"/>
      <c r="F22" s="299"/>
      <c r="G22" s="299"/>
      <c r="H22" s="299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09"/>
    </row>
    <row r="23" spans="2:22" ht="16" customHeight="1" thickBot="1" x14ac:dyDescent="0.25">
      <c r="B23" s="186"/>
      <c r="C23" s="300"/>
      <c r="D23" s="300"/>
      <c r="E23" s="300"/>
      <c r="F23" s="300"/>
      <c r="G23" s="300"/>
      <c r="H23" s="300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09"/>
    </row>
    <row r="24" spans="2:22" ht="18" thickTop="1" thickBot="1" x14ac:dyDescent="0.25">
      <c r="B24" s="107"/>
      <c r="C24" s="4"/>
      <c r="D24" s="3"/>
      <c r="E24" s="3"/>
      <c r="F24" s="3"/>
      <c r="G24" s="3"/>
      <c r="H24" s="3"/>
      <c r="I24" s="10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6"/>
      <c r="V24" s="109"/>
    </row>
    <row r="25" spans="2:22" ht="17" thickBot="1" x14ac:dyDescent="0.25">
      <c r="B25" s="107"/>
      <c r="C25" s="194" t="s">
        <v>44</v>
      </c>
      <c r="D25" s="195"/>
      <c r="E25" s="194" t="s">
        <v>39</v>
      </c>
      <c r="F25" s="199"/>
      <c r="G25" s="194" t="s">
        <v>38</v>
      </c>
      <c r="H25" s="195"/>
      <c r="I25" s="10"/>
      <c r="J25" s="291">
        <v>2025</v>
      </c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3"/>
      <c r="V25" s="109"/>
    </row>
    <row r="26" spans="2:22" ht="17" thickBot="1" x14ac:dyDescent="0.25">
      <c r="B26" s="107"/>
      <c r="C26" s="196"/>
      <c r="D26" s="197"/>
      <c r="E26" s="196"/>
      <c r="F26" s="200"/>
      <c r="G26" s="196"/>
      <c r="H26" s="197"/>
      <c r="I26" s="11"/>
      <c r="J26" s="124" t="s">
        <v>0</v>
      </c>
      <c r="K26" s="124" t="s">
        <v>1</v>
      </c>
      <c r="L26" s="124" t="s">
        <v>2</v>
      </c>
      <c r="M26" s="124" t="s">
        <v>3</v>
      </c>
      <c r="N26" s="124" t="s">
        <v>4</v>
      </c>
      <c r="O26" s="124" t="s">
        <v>5</v>
      </c>
      <c r="P26" s="124" t="s">
        <v>11</v>
      </c>
      <c r="Q26" s="124" t="s">
        <v>6</v>
      </c>
      <c r="R26" s="124" t="s">
        <v>7</v>
      </c>
      <c r="S26" s="124" t="s">
        <v>8</v>
      </c>
      <c r="T26" s="124" t="s">
        <v>9</v>
      </c>
      <c r="U26" s="124" t="s">
        <v>10</v>
      </c>
      <c r="V26" s="109"/>
    </row>
    <row r="27" spans="2:22" x14ac:dyDescent="0.2">
      <c r="B27" s="107"/>
      <c r="C27" s="294" t="str">
        <f>'Item Prices'!D13</f>
        <v>WRENCH</v>
      </c>
      <c r="D27" s="295"/>
      <c r="E27" s="294" cm="1">
        <f t="array" aca="1" ref="E27" ca="1">COUNTIF(INDIRECT(_xlfn.CONCAT("E12:E",MATCH("Order Totals",RIGHT($C:$C,12),0)-7)),$C27)</f>
        <v>1</v>
      </c>
      <c r="F27" s="295"/>
      <c r="G27" s="296">
        <f ca="1">'Item Prices'!G13*E27</f>
        <v>80</v>
      </c>
      <c r="H27" s="297"/>
      <c r="I27" s="187"/>
      <c r="J27" s="188" cm="1">
        <f t="array" aca="1" ref="J27" ca="1">COUNTIFS(INDIRECT(_xlfn.CONCAT("E12:F",MATCH("Order Totals",RIGHT($C:$C,12),0)-7)),$C27,INDIRECT(_xlfn.CONCAT("G12:H",MATCH("Order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Prices'!$G$13</f>
        <v>0</v>
      </c>
      <c r="K27" s="188" cm="1">
        <f t="array" aca="1" ref="K27" ca="1">COUNTIFS(INDIRECT(_xlfn.CONCAT("E12:F",MATCH("Order Totals",RIGHT($C:$C,12),0)-7)),$C27,INDIRECT(_xlfn.CONCAT("G12:H",MATCH("Order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Prices'!$G$13</f>
        <v>0</v>
      </c>
      <c r="L27" s="188" cm="1">
        <f t="array" aca="1" ref="L27" ca="1">COUNTIFS(INDIRECT(_xlfn.CONCAT("E12:F",MATCH("Order Totals",RIGHT($C:$C,12),0)-7)),$C27,INDIRECT(_xlfn.CONCAT("G12:H",MATCH("Order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Prices'!$G$13</f>
        <v>0</v>
      </c>
      <c r="M27" s="188" cm="1">
        <f t="array" aca="1" ref="M27" ca="1">COUNTIFS(INDIRECT(_xlfn.CONCAT("E12:F",MATCH("Order Totals",RIGHT($C:$C,12),0)-7)),$C27,INDIRECT(_xlfn.CONCAT("G12:H",MATCH("Order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Prices'!$G$13</f>
        <v>0</v>
      </c>
      <c r="N27" s="188" cm="1">
        <f t="array" aca="1" ref="N27" ca="1">COUNTIFS(INDIRECT(_xlfn.CONCAT("E12:F",MATCH("Order Totals",RIGHT($C:$C,12),0)-7)),$C27,INDIRECT(_xlfn.CONCAT("G12:H",MATCH("Order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Prices'!$G$13</f>
        <v>0</v>
      </c>
      <c r="O27" s="188" cm="1">
        <f t="array" aca="1" ref="O27" ca="1">COUNTIFS(INDIRECT(_xlfn.CONCAT("E12:F",MATCH("Order Totals",RIGHT($C:$C,12),0)-7)),$C27,INDIRECT(_xlfn.CONCAT("G12:H",MATCH("Order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Prices'!$G$13</f>
        <v>0</v>
      </c>
      <c r="P27" s="188" cm="1">
        <f t="array" aca="1" ref="P27" ca="1">COUNTIFS(INDIRECT(_xlfn.CONCAT("E12:F",MATCH("Order Totals",RIGHT($C:$C,12),0)-7)),$C27,INDIRECT(_xlfn.CONCAT("G12:H",MATCH("Order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Prices'!$G$13</f>
        <v>0</v>
      </c>
      <c r="Q27" s="188" cm="1">
        <f t="array" aca="1" ref="Q27" ca="1">COUNTIFS(INDIRECT(_xlfn.CONCAT("E12:F",MATCH("Order Totals",RIGHT($C:$C,12),0)-7)),$C27,INDIRECT(_xlfn.CONCAT("G12:H",MATCH("Order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Prices'!$G$13</f>
        <v>80</v>
      </c>
      <c r="R27" s="188" cm="1">
        <f t="array" aca="1" ref="R27" ca="1">COUNTIFS(INDIRECT(_xlfn.CONCAT("E12:F",MATCH("Order Totals",RIGHT($C:$C,12),0)-7)),$C27,INDIRECT(_xlfn.CONCAT("G12:H",MATCH("Order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Prices'!$G$13</f>
        <v>0</v>
      </c>
      <c r="S27" s="188" cm="1">
        <f t="array" aca="1" ref="S27" ca="1">COUNTIFS(INDIRECT(_xlfn.CONCAT("E12:F",MATCH("Order Totals",RIGHT($C:$C,12),0)-7)),$C27,INDIRECT(_xlfn.CONCAT("G12:H",MATCH("Order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Prices'!$G$13</f>
        <v>0</v>
      </c>
      <c r="T27" s="188" cm="1">
        <f t="array" aca="1" ref="T27" ca="1">COUNTIFS(INDIRECT(_xlfn.CONCAT("E12:F",MATCH("Order Totals",RIGHT($C:$C,12),0)-7)),$C27,INDIRECT(_xlfn.CONCAT("G12:H",MATCH("Order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Prices'!$G$13</f>
        <v>0</v>
      </c>
      <c r="U27" s="188" cm="1">
        <f t="array" aca="1" ref="U27" ca="1">COUNTIFS(INDIRECT(_xlfn.CONCAT("E12:F",MATCH("Order Totals",RIGHT($C:$C,12),0)-7)),$C27,INDIRECT(_xlfn.CONCAT("G12:H",MATCH("Order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Prices'!$G$13</f>
        <v>0</v>
      </c>
      <c r="V27" s="109"/>
    </row>
    <row r="28" spans="2:22" x14ac:dyDescent="0.2">
      <c r="B28" s="107"/>
      <c r="C28" s="287" t="str">
        <f>'Item Prices'!D16</f>
        <v>HAMMER</v>
      </c>
      <c r="D28" s="288"/>
      <c r="E28" s="287" cm="1">
        <f t="array" aca="1" ref="E28" ca="1">COUNTIF(INDIRECT(_xlfn.CONCAT("E12:E",MATCH("Order Totals",RIGHT($C:$C,12),0)-7)),$C28)</f>
        <v>0</v>
      </c>
      <c r="F28" s="288"/>
      <c r="G28" s="289">
        <f ca="1">'Item Prices'!G16*E28</f>
        <v>0</v>
      </c>
      <c r="H28" s="290"/>
      <c r="I28" s="187"/>
      <c r="J28" s="189" cm="1">
        <f t="array" aca="1" ref="J28" ca="1">COUNTIFS(INDIRECT(_xlfn.CONCAT("E12:F",MATCH("Order Totals",RIGHT($C:$C,12),0)-7)),$C28,INDIRECT(_xlfn.CONCAT("G12:H",MATCH("Order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28" s="189" cm="1">
        <f t="array" aca="1" ref="K28" ca="1">COUNTIFS(INDIRECT(_xlfn.CONCAT("E12:F",MATCH("Order Totals",RIGHT($C:$C,12),0)-7)),$C28,INDIRECT(_xlfn.CONCAT("G12:H",MATCH("Order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28" s="189" cm="1">
        <f t="array" aca="1" ref="L28" ca="1">COUNTIFS(INDIRECT(_xlfn.CONCAT("E12:F",MATCH("Order Totals",RIGHT($C:$C,12),0)-7)),$C28,INDIRECT(_xlfn.CONCAT("G12:H",MATCH("Order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28" s="189" cm="1">
        <f t="array" aca="1" ref="M28" ca="1">COUNTIFS(INDIRECT(_xlfn.CONCAT("E12:F",MATCH("Order Totals",RIGHT($C:$C,12),0)-7)),$C28,INDIRECT(_xlfn.CONCAT("G12:H",MATCH("Order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28" s="189" cm="1">
        <f t="array" aca="1" ref="N28" ca="1">COUNTIFS(INDIRECT(_xlfn.CONCAT("E12:F",MATCH("Order Totals",RIGHT($C:$C,12),0)-7)),$C28,INDIRECT(_xlfn.CONCAT("G12:H",MATCH("Order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28" s="189" cm="1">
        <f t="array" aca="1" ref="O28" ca="1">COUNTIFS(INDIRECT(_xlfn.CONCAT("E12:F",MATCH("Order Totals",RIGHT($C:$C,12),0)-7)),$C28,INDIRECT(_xlfn.CONCAT("G12:H",MATCH("Order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28" s="189" cm="1">
        <f t="array" aca="1" ref="P28" ca="1">COUNTIFS(INDIRECT(_xlfn.CONCAT("E12:F",MATCH("Order Totals",RIGHT($C:$C,12),0)-7)),$C28,INDIRECT(_xlfn.CONCAT("G12:H",MATCH("Order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28" s="189" cm="1">
        <f t="array" aca="1" ref="Q28" ca="1">COUNTIFS(INDIRECT(_xlfn.CONCAT("E12:F",MATCH("Order Totals",RIGHT($C:$C,12),0)-7)),$C28,INDIRECT(_xlfn.CONCAT("G12:H",MATCH("Order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28" s="189" cm="1">
        <f t="array" aca="1" ref="R28" ca="1">COUNTIFS(INDIRECT(_xlfn.CONCAT("E12:F",MATCH("Order Totals",RIGHT($C:$C,12),0)-7)),$C28,INDIRECT(_xlfn.CONCAT("G12:H",MATCH("Order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28" s="189" cm="1">
        <f t="array" aca="1" ref="S28" ca="1">COUNTIFS(INDIRECT(_xlfn.CONCAT("E12:F",MATCH("Order Totals",RIGHT($C:$C,12),0)-7)),$C28,INDIRECT(_xlfn.CONCAT("G12:H",MATCH("Order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28" s="189" cm="1">
        <f t="array" aca="1" ref="T28" ca="1">COUNTIFS(INDIRECT(_xlfn.CONCAT("E12:F",MATCH("Order Totals",RIGHT($C:$C,12),0)-7)),$C28,INDIRECT(_xlfn.CONCAT("G12:H",MATCH("Order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28" s="189" cm="1">
        <f t="array" aca="1" ref="U28" ca="1">COUNTIFS(INDIRECT(_xlfn.CONCAT("E12:F",MATCH("Order Totals",RIGHT($C:$C,12),0)-7)),$C28,INDIRECT(_xlfn.CONCAT("G12:H",MATCH("Order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28" s="109"/>
    </row>
    <row r="29" spans="2:22" x14ac:dyDescent="0.2">
      <c r="B29" s="107"/>
      <c r="C29" s="287" t="str">
        <f>'Item Prices'!D19</f>
        <v>BUZZSAW</v>
      </c>
      <c r="D29" s="288"/>
      <c r="E29" s="287" cm="1">
        <f t="array" aca="1" ref="E29" ca="1">COUNTIF(INDIRECT(_xlfn.CONCAT("E12:E",MATCH("Order Totals",RIGHT($C:$C,12),0)-7)),$C29)</f>
        <v>0</v>
      </c>
      <c r="F29" s="288"/>
      <c r="G29" s="289">
        <f ca="1">'Item Prices'!G19*E29</f>
        <v>0</v>
      </c>
      <c r="H29" s="290"/>
      <c r="I29" s="187"/>
      <c r="J29" s="189" cm="1">
        <f t="array" aca="1" ref="J29" ca="1">COUNTIFS(INDIRECT(_xlfn.CONCAT("E12:F",MATCH("Order Totals",RIGHT($C:$C,12),0)-7)),$C29,INDIRECT(_xlfn.CONCAT("G12:H",MATCH("Order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29" s="189" cm="1">
        <f t="array" aca="1" ref="K29" ca="1">COUNTIFS(INDIRECT(_xlfn.CONCAT("E12:F",MATCH("Order Totals",RIGHT($C:$C,12),0)-7)),$C29,INDIRECT(_xlfn.CONCAT("G12:H",MATCH("Order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29" s="189" cm="1">
        <f t="array" aca="1" ref="L29" ca="1">COUNTIFS(INDIRECT(_xlfn.CONCAT("E12:F",MATCH("Order Totals",RIGHT($C:$C,12),0)-7)),$C29,INDIRECT(_xlfn.CONCAT("G12:H",MATCH("Order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29" s="189" cm="1">
        <f t="array" aca="1" ref="M29" ca="1">COUNTIFS(INDIRECT(_xlfn.CONCAT("E12:F",MATCH("Order Totals",RIGHT($C:$C,12),0)-7)),$C29,INDIRECT(_xlfn.CONCAT("G12:H",MATCH("Order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29" s="189" cm="1">
        <f t="array" aca="1" ref="N29" ca="1">COUNTIFS(INDIRECT(_xlfn.CONCAT("E12:F",MATCH("Order Totals",RIGHT($C:$C,12),0)-7)),$C29,INDIRECT(_xlfn.CONCAT("G12:H",MATCH("Order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29" s="189" cm="1">
        <f t="array" aca="1" ref="O29" ca="1">COUNTIFS(INDIRECT(_xlfn.CONCAT("E12:F",MATCH("Order Totals",RIGHT($C:$C,12),0)-7)),$C29,INDIRECT(_xlfn.CONCAT("G12:H",MATCH("Order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29" s="189" cm="1">
        <f t="array" aca="1" ref="P29" ca="1">COUNTIFS(INDIRECT(_xlfn.CONCAT("E12:F",MATCH("Order Totals",RIGHT($C:$C,12),0)-7)),$C29,INDIRECT(_xlfn.CONCAT("G12:H",MATCH("Order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29" s="189" cm="1">
        <f t="array" aca="1" ref="Q29" ca="1">COUNTIFS(INDIRECT(_xlfn.CONCAT("E12:F",MATCH("Order Totals",RIGHT($C:$C,12),0)-7)),$C29,INDIRECT(_xlfn.CONCAT("G12:H",MATCH("Order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29" s="189" cm="1">
        <f t="array" aca="1" ref="R29" ca="1">COUNTIFS(INDIRECT(_xlfn.CONCAT("E12:F",MATCH("Order Totals",RIGHT($C:$C,12),0)-7)),$C29,INDIRECT(_xlfn.CONCAT("G12:H",MATCH("Order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29" s="189" cm="1">
        <f t="array" aca="1" ref="S29" ca="1">COUNTIFS(INDIRECT(_xlfn.CONCAT("E12:F",MATCH("Order Totals",RIGHT($C:$C,12),0)-7)),$C29,INDIRECT(_xlfn.CONCAT("G12:H",MATCH("Order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29" s="189" cm="1">
        <f t="array" aca="1" ref="T29" ca="1">COUNTIFS(INDIRECT(_xlfn.CONCAT("E12:F",MATCH("Order Totals",RIGHT($C:$C,12),0)-7)),$C29,INDIRECT(_xlfn.CONCAT("G12:H",MATCH("Order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29" s="189" cm="1">
        <f t="array" aca="1" ref="U29" ca="1">COUNTIFS(INDIRECT(_xlfn.CONCAT("E12:F",MATCH("Order Totals",RIGHT($C:$C,12),0)-7)),$C29,INDIRECT(_xlfn.CONCAT("G12:H",MATCH("Order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29" s="109"/>
    </row>
    <row r="30" spans="2:22" x14ac:dyDescent="0.2">
      <c r="B30" s="107"/>
      <c r="C30" s="287" t="str">
        <f>'Item Prices'!D22</f>
        <v>SCREWDRIVER</v>
      </c>
      <c r="D30" s="288"/>
      <c r="E30" s="287" cm="1">
        <f t="array" aca="1" ref="E30" ca="1">COUNTIF(INDIRECT(_xlfn.CONCAT("E12:E",MATCH("Order Totals",RIGHT($C:$C,12),0)-7)),$C30)</f>
        <v>0</v>
      </c>
      <c r="F30" s="288"/>
      <c r="G30" s="289">
        <f ca="1">'Item Prices'!G22*E30</f>
        <v>0</v>
      </c>
      <c r="H30" s="290"/>
      <c r="I30" s="187"/>
      <c r="J30" s="189" cm="1">
        <f t="array" aca="1" ref="J30" ca="1">COUNTIFS(INDIRECT(_xlfn.CONCAT("E12:F",MATCH("Order Totals",RIGHT($C:$C,12),0)-7)),$C30,INDIRECT(_xlfn.CONCAT("G12:H",MATCH("Order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0" s="189" cm="1">
        <f t="array" aca="1" ref="K30" ca="1">COUNTIFS(INDIRECT(_xlfn.CONCAT("E12:F",MATCH("Order Totals",RIGHT($C:$C,12),0)-7)),$C30,INDIRECT(_xlfn.CONCAT("G12:H",MATCH("Order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0" s="189" cm="1">
        <f t="array" aca="1" ref="L30" ca="1">COUNTIFS(INDIRECT(_xlfn.CONCAT("E12:F",MATCH("Order Totals",RIGHT($C:$C,12),0)-7)),$C30,INDIRECT(_xlfn.CONCAT("G12:H",MATCH("Order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0" s="189" cm="1">
        <f t="array" aca="1" ref="M30" ca="1">COUNTIFS(INDIRECT(_xlfn.CONCAT("E12:F",MATCH("Order Totals",RIGHT($C:$C,12),0)-7)),$C30,INDIRECT(_xlfn.CONCAT("G12:H",MATCH("Order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0" s="189" cm="1">
        <f t="array" aca="1" ref="N30" ca="1">COUNTIFS(INDIRECT(_xlfn.CONCAT("E12:F",MATCH("Order Totals",RIGHT($C:$C,12),0)-7)),$C30,INDIRECT(_xlfn.CONCAT("G12:H",MATCH("Order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0" s="189" cm="1">
        <f t="array" aca="1" ref="O30" ca="1">COUNTIFS(INDIRECT(_xlfn.CONCAT("E12:F",MATCH("Order Totals",RIGHT($C:$C,12),0)-7)),$C30,INDIRECT(_xlfn.CONCAT("G12:H",MATCH("Order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0" s="189" cm="1">
        <f t="array" aca="1" ref="P30" ca="1">COUNTIFS(INDIRECT(_xlfn.CONCAT("E12:F",MATCH("Order Totals",RIGHT($C:$C,12),0)-7)),$C30,INDIRECT(_xlfn.CONCAT("G12:H",MATCH("Order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0" s="189" cm="1">
        <f t="array" aca="1" ref="Q30" ca="1">COUNTIFS(INDIRECT(_xlfn.CONCAT("E12:F",MATCH("Order Totals",RIGHT($C:$C,12),0)-7)),$C30,INDIRECT(_xlfn.CONCAT("G12:H",MATCH("Order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0" s="189" cm="1">
        <f t="array" aca="1" ref="R30" ca="1">COUNTIFS(INDIRECT(_xlfn.CONCAT("E12:F",MATCH("Order Totals",RIGHT($C:$C,12),0)-7)),$C30,INDIRECT(_xlfn.CONCAT("G12:H",MATCH("Order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0" s="189" cm="1">
        <f t="array" aca="1" ref="S30" ca="1">COUNTIFS(INDIRECT(_xlfn.CONCAT("E12:F",MATCH("Order Totals",RIGHT($C:$C,12),0)-7)),$C30,INDIRECT(_xlfn.CONCAT("G12:H",MATCH("Order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0" s="189" cm="1">
        <f t="array" aca="1" ref="T30" ca="1">COUNTIFS(INDIRECT(_xlfn.CONCAT("E12:F",MATCH("Order Totals",RIGHT($C:$C,12),0)-7)),$C30,INDIRECT(_xlfn.CONCAT("G12:H",MATCH("Order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0" s="189" cm="1">
        <f t="array" aca="1" ref="U30" ca="1">COUNTIFS(INDIRECT(_xlfn.CONCAT("E12:F",MATCH("Order Totals",RIGHT($C:$C,12),0)-7)),$C30,INDIRECT(_xlfn.CONCAT("G12:H",MATCH("Order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0" s="109"/>
    </row>
    <row r="31" spans="2:22" x14ac:dyDescent="0.2">
      <c r="B31" s="107"/>
      <c r="C31" s="287" t="str">
        <f>'Item Prices'!D25</f>
        <v>NAILS</v>
      </c>
      <c r="D31" s="288"/>
      <c r="E31" s="287" cm="1">
        <f t="array" aca="1" ref="E31" ca="1">COUNTIF(INDIRECT(_xlfn.CONCAT("E12:E",MATCH("Order Totals",RIGHT($C:$C,12),0)-7)),$C31)</f>
        <v>0</v>
      </c>
      <c r="F31" s="288"/>
      <c r="G31" s="289">
        <f ca="1">'Item Prices'!G25*E31</f>
        <v>0</v>
      </c>
      <c r="H31" s="290"/>
      <c r="I31" s="187"/>
      <c r="J31" s="189" cm="1">
        <f t="array" aca="1" ref="J31" ca="1">COUNTIFS(INDIRECT(_xlfn.CONCAT("E12:F",MATCH("Order Totals",RIGHT($C:$C,12),0)-7)),$C31,INDIRECT(_xlfn.CONCAT("G12:H",MATCH("Order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1" s="189" cm="1">
        <f t="array" aca="1" ref="K31" ca="1">COUNTIFS(INDIRECT(_xlfn.CONCAT("E12:F",MATCH("Order Totals",RIGHT($C:$C,12),0)-7)),$C31,INDIRECT(_xlfn.CONCAT("G12:H",MATCH("Order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1" s="189" cm="1">
        <f t="array" aca="1" ref="L31" ca="1">COUNTIFS(INDIRECT(_xlfn.CONCAT("E12:F",MATCH("Order Totals",RIGHT($C:$C,12),0)-7)),$C31,INDIRECT(_xlfn.CONCAT("G12:H",MATCH("Order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1" s="189" cm="1">
        <f t="array" aca="1" ref="M31" ca="1">COUNTIFS(INDIRECT(_xlfn.CONCAT("E12:F",MATCH("Order Totals",RIGHT($C:$C,12),0)-7)),$C31,INDIRECT(_xlfn.CONCAT("G12:H",MATCH("Order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1" s="189" cm="1">
        <f t="array" aca="1" ref="N31" ca="1">COUNTIFS(INDIRECT(_xlfn.CONCAT("E12:F",MATCH("Order Totals",RIGHT($C:$C,12),0)-7)),$C31,INDIRECT(_xlfn.CONCAT("G12:H",MATCH("Order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1" s="189" cm="1">
        <f t="array" aca="1" ref="O31" ca="1">COUNTIFS(INDIRECT(_xlfn.CONCAT("E12:F",MATCH("Order Totals",RIGHT($C:$C,12),0)-7)),$C31,INDIRECT(_xlfn.CONCAT("G12:H",MATCH("Order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1" s="189" cm="1">
        <f t="array" aca="1" ref="P31" ca="1">COUNTIFS(INDIRECT(_xlfn.CONCAT("E12:F",MATCH("Order Totals",RIGHT($C:$C,12),0)-7)),$C31,INDIRECT(_xlfn.CONCAT("G12:H",MATCH("Order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1" s="189" cm="1">
        <f t="array" aca="1" ref="Q31" ca="1">COUNTIFS(INDIRECT(_xlfn.CONCAT("E12:F",MATCH("Order Totals",RIGHT($C:$C,12),0)-7)),$C31,INDIRECT(_xlfn.CONCAT("G12:H",MATCH("Order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1" s="189" cm="1">
        <f t="array" aca="1" ref="R31" ca="1">COUNTIFS(INDIRECT(_xlfn.CONCAT("E12:F",MATCH("Order Totals",RIGHT($C:$C,12),0)-7)),$C31,INDIRECT(_xlfn.CONCAT("G12:H",MATCH("Order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1" s="189" cm="1">
        <f t="array" aca="1" ref="S31" ca="1">COUNTIFS(INDIRECT(_xlfn.CONCAT("E12:F",MATCH("Order Totals",RIGHT($C:$C,12),0)-7)),$C31,INDIRECT(_xlfn.CONCAT("G12:H",MATCH("Order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1" s="189" cm="1">
        <f t="array" aca="1" ref="T31" ca="1">COUNTIFS(INDIRECT(_xlfn.CONCAT("E12:F",MATCH("Order Totals",RIGHT($C:$C,12),0)-7)),$C31,INDIRECT(_xlfn.CONCAT("G12:H",MATCH("Order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1" s="189" cm="1">
        <f t="array" aca="1" ref="U31" ca="1">COUNTIFS(INDIRECT(_xlfn.CONCAT("E12:F",MATCH("Order Totals",RIGHT($C:$C,12),0)-7)),$C31,INDIRECT(_xlfn.CONCAT("G12:H",MATCH("Order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1" s="109"/>
    </row>
    <row r="32" spans="2:22" ht="17" thickBot="1" x14ac:dyDescent="0.25">
      <c r="B32" s="107"/>
      <c r="C32" s="287" t="str">
        <f>'Item Prices'!D28</f>
        <v>MEASURING TAPE</v>
      </c>
      <c r="D32" s="288"/>
      <c r="E32" s="287" cm="1">
        <f t="array" aca="1" ref="E32" ca="1">COUNTIF(INDIRECT(_xlfn.CONCAT("E12:E",MATCH("Order Totals",RIGHT($C:$C,12),0)-7)),$C32)</f>
        <v>0</v>
      </c>
      <c r="F32" s="288"/>
      <c r="G32" s="289">
        <f ca="1">'Item Prices'!G28*E32</f>
        <v>0</v>
      </c>
      <c r="H32" s="290"/>
      <c r="I32" s="190"/>
      <c r="J32" s="189" cm="1">
        <f t="array" aca="1" ref="J32" ca="1">COUNTIFS(INDIRECT(_xlfn.CONCAT("E12:F",MATCH("Order Totals",RIGHT($C:$C,12),0)-7)),$C32,INDIRECT(_xlfn.CONCAT("G12:H",MATCH("Order Totals",RIGHT($C:$C,12),0)-7)),"&gt;="&amp;DATE(YEAR($G$12),MATCH(J$26,{"JAN","FEB","MAR","APR","MAY","JUN","JUL","AUG","SEP","OCT","NOV","DEC"},0),1),INDIRECT(_xlfn.CONCAT("G12:H",MATCH("Order Totals",RIGHT($C:$C,12),0)-7)),"&lt;="&amp;EOMONTH(DATE(YEAR($G$12),MATCH(J$26,{"JAN","FEB","MAR","APR","MAY","JUN","JUL","AUG","SEP","OCT","NOV","DEC"},0),1),0))*'Item Prices'!$G$16</f>
        <v>0</v>
      </c>
      <c r="K32" s="189" cm="1">
        <f t="array" aca="1" ref="K32" ca="1">COUNTIFS(INDIRECT(_xlfn.CONCAT("E12:F",MATCH("Order Totals",RIGHT($C:$C,12),0)-7)),$C32,INDIRECT(_xlfn.CONCAT("G12:H",MATCH("Order Totals",RIGHT($C:$C,12),0)-7)),"&gt;="&amp;DATE(YEAR($G$12),MATCH(K$26,{"JAN","FEB","MAR","APR","MAY","JUN","JUL","AUG","SEP","OCT","NOV","DEC"},0),1),INDIRECT(_xlfn.CONCAT("G12:H",MATCH("Order Totals",RIGHT($C:$C,12),0)-7)),"&lt;="&amp;EOMONTH(DATE(YEAR($G$12),MATCH(K$26,{"JAN","FEB","MAR","APR","MAY","JUN","JUL","AUG","SEP","OCT","NOV","DEC"},0),1),0))*'Item Prices'!$G$16</f>
        <v>0</v>
      </c>
      <c r="L32" s="189" cm="1">
        <f t="array" aca="1" ref="L32" ca="1">COUNTIFS(INDIRECT(_xlfn.CONCAT("E12:F",MATCH("Order Totals",RIGHT($C:$C,12),0)-7)),$C32,INDIRECT(_xlfn.CONCAT("G12:H",MATCH("Order Totals",RIGHT($C:$C,12),0)-7)),"&gt;="&amp;DATE(YEAR($G$12),MATCH(L$26,{"JAN","FEB","MAR","APR","MAY","JUN","JUL","AUG","SEP","OCT","NOV","DEC"},0),1),INDIRECT(_xlfn.CONCAT("G12:H",MATCH("Order Totals",RIGHT($C:$C,12),0)-7)),"&lt;="&amp;EOMONTH(DATE(YEAR($G$12),MATCH(L$26,{"JAN","FEB","MAR","APR","MAY","JUN","JUL","AUG","SEP","OCT","NOV","DEC"},0),1),0))*'Item Prices'!$G$16</f>
        <v>0</v>
      </c>
      <c r="M32" s="189" cm="1">
        <f t="array" aca="1" ref="M32" ca="1">COUNTIFS(INDIRECT(_xlfn.CONCAT("E12:F",MATCH("Order Totals",RIGHT($C:$C,12),0)-7)),$C32,INDIRECT(_xlfn.CONCAT("G12:H",MATCH("Order Totals",RIGHT($C:$C,12),0)-7)),"&gt;="&amp;DATE(YEAR($G$12),MATCH(M$26,{"JAN","FEB","MAR","APR","MAY","JUN","JUL","AUG","SEP","OCT","NOV","DEC"},0),1),INDIRECT(_xlfn.CONCAT("G12:H",MATCH("Order Totals",RIGHT($C:$C,12),0)-7)),"&lt;="&amp;EOMONTH(DATE(YEAR($G$12),MATCH(M$26,{"JAN","FEB","MAR","APR","MAY","JUN","JUL","AUG","SEP","OCT","NOV","DEC"},0),1),0))*'Item Prices'!$G$16</f>
        <v>0</v>
      </c>
      <c r="N32" s="189" cm="1">
        <f t="array" aca="1" ref="N32" ca="1">COUNTIFS(INDIRECT(_xlfn.CONCAT("E12:F",MATCH("Order Totals",RIGHT($C:$C,12),0)-7)),$C32,INDIRECT(_xlfn.CONCAT("G12:H",MATCH("Order Totals",RIGHT($C:$C,12),0)-7)),"&gt;="&amp;DATE(YEAR($G$12),MATCH(N$26,{"JAN","FEB","MAR","APR","MAY","JUN","JUL","AUG","SEP","OCT","NOV","DEC"},0),1),INDIRECT(_xlfn.CONCAT("G12:H",MATCH("Order Totals",RIGHT($C:$C,12),0)-7)),"&lt;="&amp;EOMONTH(DATE(YEAR($G$12),MATCH(N$26,{"JAN","FEB","MAR","APR","MAY","JUN","JUL","AUG","SEP","OCT","NOV","DEC"},0),1),0))*'Item Prices'!$G$16</f>
        <v>0</v>
      </c>
      <c r="O32" s="189" cm="1">
        <f t="array" aca="1" ref="O32" ca="1">COUNTIFS(INDIRECT(_xlfn.CONCAT("E12:F",MATCH("Order Totals",RIGHT($C:$C,12),0)-7)),$C32,INDIRECT(_xlfn.CONCAT("G12:H",MATCH("Order Totals",RIGHT($C:$C,12),0)-7)),"&gt;="&amp;DATE(YEAR($G$12),MATCH(O$26,{"JAN","FEB","MAR","APR","MAY","JUN","JUL","AUG","SEP","OCT","NOV","DEC"},0),1),INDIRECT(_xlfn.CONCAT("G12:H",MATCH("Order Totals",RIGHT($C:$C,12),0)-7)),"&lt;="&amp;EOMONTH(DATE(YEAR($G$12),MATCH(O$26,{"JAN","FEB","MAR","APR","MAY","JUN","JUL","AUG","SEP","OCT","NOV","DEC"},0),1),0))*'Item Prices'!$G$16</f>
        <v>0</v>
      </c>
      <c r="P32" s="189" cm="1">
        <f t="array" aca="1" ref="P32" ca="1">COUNTIFS(INDIRECT(_xlfn.CONCAT("E12:F",MATCH("Order Totals",RIGHT($C:$C,12),0)-7)),$C32,INDIRECT(_xlfn.CONCAT("G12:H",MATCH("Order Totals",RIGHT($C:$C,12),0)-7)),"&gt;="&amp;DATE(YEAR($G$12),MATCH(P$26,{"JAN","FEB","MAR","APR","MAY","JUN","JUL","AUG","SEP","OCT","NOV","DEC"},0),1),INDIRECT(_xlfn.CONCAT("G12:H",MATCH("Order Totals",RIGHT($C:$C,12),0)-7)),"&lt;="&amp;EOMONTH(DATE(YEAR($G$12),MATCH(P$26,{"JAN","FEB","MAR","APR","MAY","JUN","JUL","AUG","SEP","OCT","NOV","DEC"},0),1),0))*'Item Prices'!$G$16</f>
        <v>0</v>
      </c>
      <c r="Q32" s="189" cm="1">
        <f t="array" aca="1" ref="Q32" ca="1">COUNTIFS(INDIRECT(_xlfn.CONCAT("E12:F",MATCH("Order Totals",RIGHT($C:$C,12),0)-7)),$C32,INDIRECT(_xlfn.CONCAT("G12:H",MATCH("Order Totals",RIGHT($C:$C,12),0)-7)),"&gt;="&amp;DATE(YEAR($G$12),MATCH(Q$26,{"JAN","FEB","MAR","APR","MAY","JUN","JUL","AUG","SEP","OCT","NOV","DEC"},0),1),INDIRECT(_xlfn.CONCAT("G12:H",MATCH("Order Totals",RIGHT($C:$C,12),0)-7)),"&lt;="&amp;EOMONTH(DATE(YEAR($G$12),MATCH(Q$26,{"JAN","FEB","MAR","APR","MAY","JUN","JUL","AUG","SEP","OCT","NOV","DEC"},0),1),0))*'Item Prices'!$G$16</f>
        <v>0</v>
      </c>
      <c r="R32" s="189" cm="1">
        <f t="array" aca="1" ref="R32" ca="1">COUNTIFS(INDIRECT(_xlfn.CONCAT("E12:F",MATCH("Order Totals",RIGHT($C:$C,12),0)-7)),$C32,INDIRECT(_xlfn.CONCAT("G12:H",MATCH("Order Totals",RIGHT($C:$C,12),0)-7)),"&gt;="&amp;DATE(YEAR($G$12),MATCH(R$26,{"JAN","FEB","MAR","APR","MAY","JUN","JUL","AUG","SEP","OCT","NOV","DEC"},0),1),INDIRECT(_xlfn.CONCAT("G12:H",MATCH("Order Totals",RIGHT($C:$C,12),0)-7)),"&lt;="&amp;EOMONTH(DATE(YEAR($G$12),MATCH(R$26,{"JAN","FEB","MAR","APR","MAY","JUN","JUL","AUG","SEP","OCT","NOV","DEC"},0),1),0))*'Item Prices'!$G$16</f>
        <v>0</v>
      </c>
      <c r="S32" s="189" cm="1">
        <f t="array" aca="1" ref="S32" ca="1">COUNTIFS(INDIRECT(_xlfn.CONCAT("E12:F",MATCH("Order Totals",RIGHT($C:$C,12),0)-7)),$C32,INDIRECT(_xlfn.CONCAT("G12:H",MATCH("Order Totals",RIGHT($C:$C,12),0)-7)),"&gt;="&amp;DATE(YEAR($G$12),MATCH(S$26,{"JAN","FEB","MAR","APR","MAY","JUN","JUL","AUG","SEP","OCT","NOV","DEC"},0),1),INDIRECT(_xlfn.CONCAT("G12:H",MATCH("Order Totals",RIGHT($C:$C,12),0)-7)),"&lt;="&amp;EOMONTH(DATE(YEAR($G$12),MATCH(S$26,{"JAN","FEB","MAR","APR","MAY","JUN","JUL","AUG","SEP","OCT","NOV","DEC"},0),1),0))*'Item Prices'!$G$16</f>
        <v>0</v>
      </c>
      <c r="T32" s="189" cm="1">
        <f t="array" aca="1" ref="T32" ca="1">COUNTIFS(INDIRECT(_xlfn.CONCAT("E12:F",MATCH("Order Totals",RIGHT($C:$C,12),0)-7)),$C32,INDIRECT(_xlfn.CONCAT("G12:H",MATCH("Order Totals",RIGHT($C:$C,12),0)-7)),"&gt;="&amp;DATE(YEAR($G$12),MATCH(T$26,{"JAN","FEB","MAR","APR","MAY","JUN","JUL","AUG","SEP","OCT","NOV","DEC"},0),1),INDIRECT(_xlfn.CONCAT("G12:H",MATCH("Order Totals",RIGHT($C:$C,12),0)-7)),"&lt;="&amp;EOMONTH(DATE(YEAR($G$12),MATCH(T$26,{"JAN","FEB","MAR","APR","MAY","JUN","JUL","AUG","SEP","OCT","NOV","DEC"},0),1),0))*'Item Prices'!$G$16</f>
        <v>0</v>
      </c>
      <c r="U32" s="189" cm="1">
        <f t="array" aca="1" ref="U32" ca="1">COUNTIFS(INDIRECT(_xlfn.CONCAT("E12:F",MATCH("Order Totals",RIGHT($C:$C,12),0)-7)),$C32,INDIRECT(_xlfn.CONCAT("G12:H",MATCH("Order Totals",RIGHT($C:$C,12),0)-7)),"&gt;="&amp;DATE(YEAR($G$12),MATCH(U$26,{"JAN","FEB","MAR","APR","MAY","JUN","JUL","AUG","SEP","OCT","NOV","DEC"},0),1),INDIRECT(_xlfn.CONCAT("G12:H",MATCH("Order Totals",RIGHT($C:$C,12),0)-7)),"&lt;="&amp;EOMONTH(DATE(YEAR($G$12),MATCH(U$26,{"JAN","FEB","MAR","APR","MAY","JUN","JUL","AUG","SEP","OCT","NOV","DEC"},0),1),0))*'Item Prices'!$G$16</f>
        <v>0</v>
      </c>
      <c r="V32" s="109"/>
    </row>
    <row r="33" spans="2:22" x14ac:dyDescent="0.2">
      <c r="B33" s="10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09"/>
    </row>
    <row r="34" spans="2:22" ht="17" thickBot="1" x14ac:dyDescent="0.25">
      <c r="B34" s="110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2"/>
    </row>
    <row r="35" spans="2:22" ht="18" thickTop="1" thickBot="1" x14ac:dyDescent="0.25">
      <c r="B35" s="4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6"/>
    </row>
  </sheetData>
  <mergeCells count="30">
    <mergeCell ref="C4:H8"/>
    <mergeCell ref="E10:F11"/>
    <mergeCell ref="G10:H11"/>
    <mergeCell ref="C10:D11"/>
    <mergeCell ref="C12:D12"/>
    <mergeCell ref="E12:F12"/>
    <mergeCell ref="G12:H12"/>
    <mergeCell ref="C28:D28"/>
    <mergeCell ref="E28:F28"/>
    <mergeCell ref="G28:H28"/>
    <mergeCell ref="C27:D27"/>
    <mergeCell ref="E27:F27"/>
    <mergeCell ref="G27:H27"/>
    <mergeCell ref="C30:D30"/>
    <mergeCell ref="E30:F30"/>
    <mergeCell ref="G30:H30"/>
    <mergeCell ref="C29:D29"/>
    <mergeCell ref="E29:F29"/>
    <mergeCell ref="G29:H29"/>
    <mergeCell ref="C32:D32"/>
    <mergeCell ref="E32:F32"/>
    <mergeCell ref="G32:H32"/>
    <mergeCell ref="C31:D31"/>
    <mergeCell ref="E31:F31"/>
    <mergeCell ref="G31:H31"/>
    <mergeCell ref="J25:U25"/>
    <mergeCell ref="C19:H23"/>
    <mergeCell ref="C25:D26"/>
    <mergeCell ref="E25:F26"/>
    <mergeCell ref="G25:H26"/>
  </mergeCells>
  <conditionalFormatting sqref="J12:JJ12">
    <cfRule type="expression" dxfId="0" priority="1" stopIfTrue="1">
      <formula>IF(J$11=$G12,TRUE,FALSE)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1F9EF-1397-CF47-A011-CB4EB55A7D5E}">
  <sheetPr codeName="Sheet3"/>
  <dimension ref="A1:AM50"/>
  <sheetViews>
    <sheetView topLeftCell="AG1" zoomScale="64" workbookViewId="0">
      <selection activeCell="AS49" sqref="AS49"/>
    </sheetView>
  </sheetViews>
  <sheetFormatPr baseColWidth="10" defaultRowHeight="16" x14ac:dyDescent="0.2"/>
  <cols>
    <col min="1" max="1" width="17.1640625" bestFit="1" customWidth="1"/>
    <col min="6" max="6" width="16.83203125" bestFit="1" customWidth="1"/>
    <col min="7" max="7" width="15.6640625" bestFit="1" customWidth="1"/>
    <col min="9" max="9" width="15.33203125" bestFit="1" customWidth="1"/>
    <col min="17" max="17" width="15.33203125" bestFit="1" customWidth="1"/>
    <col min="20" max="20" width="12" bestFit="1" customWidth="1"/>
    <col min="21" max="21" width="15.33203125" bestFit="1" customWidth="1"/>
    <col min="26" max="26" width="12.1640625" bestFit="1" customWidth="1"/>
    <col min="28" max="28" width="17.83203125" bestFit="1" customWidth="1"/>
    <col min="29" max="29" width="25.1640625" bestFit="1" customWidth="1"/>
    <col min="36" max="36" width="20.33203125" bestFit="1" customWidth="1"/>
    <col min="37" max="37" width="16.33203125" bestFit="1" customWidth="1"/>
    <col min="38" max="38" width="19.33203125" bestFit="1" customWidth="1"/>
  </cols>
  <sheetData>
    <row r="1" spans="1:39" ht="17" thickBot="1" x14ac:dyDescent="0.25">
      <c r="A1" s="38" t="s">
        <v>17</v>
      </c>
      <c r="B1" s="317" t="s">
        <v>59</v>
      </c>
      <c r="C1" s="318"/>
      <c r="D1" s="318"/>
      <c r="E1" s="319"/>
      <c r="F1" s="41"/>
    </row>
    <row r="2" spans="1:39" ht="17" thickBot="1" x14ac:dyDescent="0.25">
      <c r="A2" s="1" t="s">
        <v>15</v>
      </c>
      <c r="B2" s="39" t="s">
        <v>60</v>
      </c>
      <c r="C2">
        <v>1</v>
      </c>
      <c r="D2" cm="1">
        <f t="array" aca="1" ref="D2:D31" ca="1">_xlfn._xlws.FILTER(C2:C32,C2:C32&gt;0)</f>
        <v>1</v>
      </c>
      <c r="E2">
        <v>1</v>
      </c>
      <c r="F2" s="44" t="s">
        <v>84</v>
      </c>
      <c r="G2" s="326" t="s">
        <v>78</v>
      </c>
      <c r="H2" s="327"/>
      <c r="I2" s="327"/>
      <c r="J2" s="320" t="s">
        <v>75</v>
      </c>
      <c r="K2" s="325"/>
      <c r="L2" s="321"/>
      <c r="M2" s="320" t="s">
        <v>76</v>
      </c>
      <c r="N2" s="321"/>
      <c r="O2" s="320" t="s">
        <v>77</v>
      </c>
      <c r="P2" s="321"/>
      <c r="Q2" s="320" t="s">
        <v>81</v>
      </c>
      <c r="R2" s="325"/>
      <c r="S2" s="321"/>
      <c r="T2" s="44" t="s">
        <v>82</v>
      </c>
      <c r="U2" s="322" t="s">
        <v>38</v>
      </c>
      <c r="V2" s="323"/>
      <c r="W2" s="324"/>
      <c r="X2" s="72" t="s">
        <v>30</v>
      </c>
      <c r="Z2" t="s">
        <v>89</v>
      </c>
      <c r="AA2" t="s">
        <v>90</v>
      </c>
      <c r="AB2" t="s">
        <v>91</v>
      </c>
      <c r="AC2" s="77"/>
      <c r="AD2" s="314" t="s">
        <v>92</v>
      </c>
      <c r="AE2" s="315"/>
      <c r="AF2" s="315"/>
      <c r="AG2" s="315"/>
      <c r="AH2" s="316"/>
      <c r="AJ2" s="93" t="s">
        <v>98</v>
      </c>
      <c r="AK2" s="97" t="s">
        <v>99</v>
      </c>
      <c r="AL2" s="44" t="s">
        <v>102</v>
      </c>
      <c r="AM2" s="98" t="s">
        <v>104</v>
      </c>
    </row>
    <row r="3" spans="1:39" ht="17" thickBot="1" x14ac:dyDescent="0.25">
      <c r="A3" s="1" t="s">
        <v>16</v>
      </c>
      <c r="B3" s="39" t="s">
        <v>61</v>
      </c>
      <c r="C3">
        <v>2</v>
      </c>
      <c r="D3">
        <f ca="1"/>
        <v>2</v>
      </c>
      <c r="E3">
        <v>2</v>
      </c>
      <c r="F3" s="67">
        <f ca="1">MAX(H:H)</f>
        <v>4</v>
      </c>
      <c r="G3" s="59" t="s">
        <v>33</v>
      </c>
      <c r="H3" s="47" t="s">
        <v>37</v>
      </c>
      <c r="I3" s="55" t="s">
        <v>80</v>
      </c>
      <c r="J3" s="57" t="s">
        <v>60</v>
      </c>
      <c r="K3" s="50">
        <v>1</v>
      </c>
      <c r="L3" s="55" t="s">
        <v>79</v>
      </c>
      <c r="M3" s="42">
        <v>8</v>
      </c>
      <c r="N3" s="43">
        <f ca="1">INDEX(_xlfn.ANCHORARRAY(C2),MATCH(M3,_xlfn.ANCHORARRAY(C2),0),1)</f>
        <v>8</v>
      </c>
      <c r="O3" s="42">
        <v>2025</v>
      </c>
      <c r="P3" s="64">
        <v>2025</v>
      </c>
      <c r="Q3" s="46" t="str">
        <f>'Item Prices'!D13</f>
        <v>WRENCH</v>
      </c>
      <c r="R3" s="57">
        <v>1</v>
      </c>
      <c r="S3" s="47" t="s">
        <v>79</v>
      </c>
      <c r="T3" s="42">
        <v>1</v>
      </c>
      <c r="U3" s="68" t="str">
        <f t="shared" ref="U3:U8" si="0">Q3</f>
        <v>WRENCH</v>
      </c>
      <c r="V3" s="50">
        <f>'Item Prices'!G13</f>
        <v>80</v>
      </c>
      <c r="W3" s="69" t="s">
        <v>83</v>
      </c>
      <c r="X3" s="68">
        <f>MAX('Order Tracker'!C:C)+1</f>
        <v>114</v>
      </c>
      <c r="Z3" s="85" t="str" cm="1">
        <f t="array" aca="1" ref="Z3:AA5" ca="1">INDIRECT(_xlfn.CONCAT("G4:",ADDRESS(MATCH(MAX(H:H),H:H,0)-1,8,4)))</f>
        <v>Client 1</v>
      </c>
      <c r="AA3" s="86">
        <f ca="1"/>
        <v>1</v>
      </c>
      <c r="AB3" s="57" cm="1">
        <f t="array" aca="1" ref="AB3" ca="1">MAX(IF(ISNUMBER(INDIRECT(_xlfn.CONCAT("'",Z3,"'!","C:C"))),ROW(INDIRECT(_xlfn.CONCAT("'",Z3,"'!","C:C")))))</f>
        <v>12</v>
      </c>
      <c r="AC3" s="10"/>
      <c r="AD3" s="78">
        <v>45658</v>
      </c>
      <c r="AE3" s="78">
        <v>45659</v>
      </c>
      <c r="AF3" s="78">
        <v>45660</v>
      </c>
      <c r="AG3" s="78">
        <v>45661</v>
      </c>
      <c r="AH3" s="78">
        <v>45662</v>
      </c>
      <c r="AK3" s="39">
        <v>111</v>
      </c>
      <c r="AL3" s="94" t="s">
        <v>103</v>
      </c>
      <c r="AM3" s="67" cm="1">
        <f t="array" ref="AM3">MAX(IF(ISNUMBER('Order Tracker'!$C:$C),ROW('Order Tracker'!$C:$C)))</f>
        <v>14</v>
      </c>
    </row>
    <row r="4" spans="1:39" ht="17" thickBot="1" x14ac:dyDescent="0.25">
      <c r="A4" s="1" t="s">
        <v>18</v>
      </c>
      <c r="B4" s="39" t="s">
        <v>62</v>
      </c>
      <c r="C4">
        <v>3</v>
      </c>
      <c r="D4">
        <f ca="1"/>
        <v>3</v>
      </c>
      <c r="E4">
        <v>3</v>
      </c>
      <c r="F4" s="67" t="str">
        <f>IF(I6="ADD NEW CLIENT","- -",I6)</f>
        <v>Client 1</v>
      </c>
      <c r="G4" s="70" t="s">
        <v>71</v>
      </c>
      <c r="H4" s="71">
        <v>1</v>
      </c>
      <c r="I4" s="51">
        <v>1</v>
      </c>
      <c r="J4" s="58" t="s">
        <v>61</v>
      </c>
      <c r="K4" s="53">
        <v>2</v>
      </c>
      <c r="L4" s="53" t="str">
        <f>INDEX(J3:K14,MATCH(L6,K3:K14,0),1)</f>
        <v>September</v>
      </c>
      <c r="Q4" s="48" t="str">
        <f>'Item Prices'!D16</f>
        <v>HAMMER</v>
      </c>
      <c r="R4" s="58">
        <v>2</v>
      </c>
      <c r="S4" s="58" t="str">
        <f>INDEX(Q3:R8,MATCH(S6,R3:R8,0),1)</f>
        <v>WRENCH</v>
      </c>
      <c r="U4" s="60" t="str">
        <f t="shared" si="0"/>
        <v>HAMMER</v>
      </c>
      <c r="V4" s="51">
        <f>'Item Prices'!G16</f>
        <v>60</v>
      </c>
      <c r="W4" s="73">
        <f>INDEX(U3:V8,MATCH(S4,U3:U8,0),2)*T3</f>
        <v>80</v>
      </c>
      <c r="X4" s="75" t="s">
        <v>88</v>
      </c>
      <c r="Z4" s="74" t="str">
        <f ca="1"/>
        <v>Client 2</v>
      </c>
      <c r="AA4">
        <f ca="1"/>
        <v>2</v>
      </c>
      <c r="AB4" s="58" cm="1">
        <f t="array" aca="1" ref="AB4" ca="1">MAX(IF(ISNUMBER(INDIRECT(_xlfn.CONCAT("'",Z4,"'!","C:C"))),ROW(INDIRECT(_xlfn.CONCAT("'",Z4,"'!","C:C")))))</f>
        <v>12</v>
      </c>
      <c r="AC4" s="79" t="s">
        <v>93</v>
      </c>
      <c r="AD4" s="76">
        <v>12</v>
      </c>
      <c r="AE4" s="76">
        <v>12</v>
      </c>
      <c r="AF4" s="76">
        <v>12</v>
      </c>
      <c r="AG4" s="76">
        <v>12</v>
      </c>
      <c r="AH4" s="76">
        <v>12</v>
      </c>
      <c r="AJ4" s="94" t="s">
        <v>101</v>
      </c>
      <c r="AK4" s="94" t="s">
        <v>100</v>
      </c>
      <c r="AL4" s="39">
        <v>10</v>
      </c>
    </row>
    <row r="5" spans="1:39" ht="17" thickBot="1" x14ac:dyDescent="0.25">
      <c r="A5" s="1" t="s">
        <v>19</v>
      </c>
      <c r="B5" s="39" t="s">
        <v>63</v>
      </c>
      <c r="C5">
        <v>4</v>
      </c>
      <c r="D5">
        <f ca="1"/>
        <v>4</v>
      </c>
      <c r="E5">
        <v>4</v>
      </c>
      <c r="F5" s="55" t="s">
        <v>85</v>
      </c>
      <c r="G5" s="70" t="s">
        <v>72</v>
      </c>
      <c r="H5" s="71">
        <v>2</v>
      </c>
      <c r="I5" s="61" t="s">
        <v>79</v>
      </c>
      <c r="J5" s="58" t="s">
        <v>62</v>
      </c>
      <c r="K5" s="53">
        <v>3</v>
      </c>
      <c r="L5" s="56" t="s">
        <v>80</v>
      </c>
      <c r="Q5" s="48" t="str">
        <f>'Item Prices'!D19</f>
        <v>BUZZSAW</v>
      </c>
      <c r="R5" s="58">
        <v>3</v>
      </c>
      <c r="S5" s="65" t="s">
        <v>80</v>
      </c>
      <c r="U5" s="60" t="str">
        <f t="shared" si="0"/>
        <v>BUZZSAW</v>
      </c>
      <c r="V5" s="51">
        <f>'Item Prices'!G19</f>
        <v>150</v>
      </c>
      <c r="W5" s="99" t="s">
        <v>96</v>
      </c>
      <c r="X5" s="2">
        <f>MATCH(X3-1,'Order Tracker'!C:C,0)</f>
        <v>14</v>
      </c>
      <c r="Z5" s="74" t="str">
        <f ca="1"/>
        <v>Client 3</v>
      </c>
      <c r="AA5">
        <f ca="1"/>
        <v>3</v>
      </c>
      <c r="AB5" s="58" cm="1">
        <f t="array" aca="1" ref="AB5" ca="1">MAX(IF(ISNUMBER(INDIRECT(_xlfn.CONCAT("'",Z5,"'!","C:C"))),ROW(INDIRECT(_xlfn.CONCAT("'",Z5,"'!","C:C")))))</f>
        <v>12</v>
      </c>
      <c r="AC5" s="79" t="s">
        <v>94</v>
      </c>
      <c r="AD5" s="76" cm="1">
        <f t="array" aca="1" ref="AD5" ca="1">COUNTIF(INDIRECT(_xlfn.CONCAT("'Order Tracker'!E12:E",MAX(IF(ISNUMBER('Order Tracker'!$C:$C),ROW('Order Tracker'!$C:$C))))),Data!AD3)</f>
        <v>0</v>
      </c>
      <c r="AE5" s="76" cm="1">
        <f t="array" aca="1" ref="AE5" ca="1">COUNTIF(INDIRECT(_xlfn.CONCAT("'Order Tracker'!E12:E",MAX(IF(ISNUMBER('Order Tracker'!$C:$C),ROW('Order Tracker'!$C:$C))))),Data!AE3)</f>
        <v>0</v>
      </c>
      <c r="AF5" s="76" cm="1">
        <f t="array" aca="1" ref="AF5" ca="1">COUNTIF(INDIRECT(_xlfn.CONCAT("'Order Tracker'!E12:E",MAX(IF(ISNUMBER('Order Tracker'!$C:$C),ROW('Order Tracker'!$C:$C))))),Data!AF3)</f>
        <v>0</v>
      </c>
      <c r="AG5" s="76" cm="1">
        <f t="array" aca="1" ref="AG5" ca="1">COUNTIF(INDIRECT(_xlfn.CONCAT("'Order Tracker'!E12:E",MAX(IF(ISNUMBER('Order Tracker'!$C:$C),ROW('Order Tracker'!$C:$C))))),Data!AG3)</f>
        <v>0</v>
      </c>
      <c r="AH5" s="76" cm="1">
        <f t="array" aca="1" ref="AH5" ca="1">COUNTIF(INDIRECT(_xlfn.CONCAT("'Order Tracker'!E12:E",MAX(IF(ISNUMBER('Order Tracker'!$C:$C),ROW('Order Tracker'!$C:$C))))),Data!AH3)</f>
        <v>0</v>
      </c>
      <c r="AK5" s="95">
        <f>MATCH(AK3,'Order Tracker'!C:C,0)</f>
        <v>12</v>
      </c>
      <c r="AL5" s="94" t="s">
        <v>28</v>
      </c>
    </row>
    <row r="6" spans="1:39" ht="17" thickBot="1" x14ac:dyDescent="0.25">
      <c r="A6" s="1" t="s">
        <v>20</v>
      </c>
      <c r="B6" s="39" t="s">
        <v>20</v>
      </c>
      <c r="C6">
        <v>5</v>
      </c>
      <c r="D6">
        <f ca="1"/>
        <v>5</v>
      </c>
      <c r="E6">
        <v>5</v>
      </c>
      <c r="F6" s="52">
        <f>MATCH("ADD NEW CLIENT",G:G,0)</f>
        <v>7</v>
      </c>
      <c r="G6" s="70" t="s">
        <v>73</v>
      </c>
      <c r="H6" s="71">
        <v>3</v>
      </c>
      <c r="I6" s="52" t="str">
        <f>INDEX(G4:H7,MATCH(I4,H4:H7,0),1)</f>
        <v>Client 1</v>
      </c>
      <c r="J6" s="58" t="s">
        <v>63</v>
      </c>
      <c r="K6" s="53">
        <v>4</v>
      </c>
      <c r="L6" s="54">
        <v>9</v>
      </c>
      <c r="Q6" s="48" t="str">
        <f>'Item Prices'!D22</f>
        <v>SCREWDRIVER</v>
      </c>
      <c r="R6" s="58">
        <v>4</v>
      </c>
      <c r="S6" s="58">
        <v>1</v>
      </c>
      <c r="U6" s="60" t="str">
        <f t="shared" si="0"/>
        <v>SCREWDRIVER</v>
      </c>
      <c r="V6" s="51">
        <f>'Item Prices'!G22</f>
        <v>20</v>
      </c>
      <c r="W6" s="100">
        <f>INDEX(U9:V14,MATCH(S4,U9:U14,0),2)*T3</f>
        <v>40</v>
      </c>
      <c r="Z6" s="74"/>
      <c r="AB6" s="58" cm="1">
        <f t="array" aca="1" ref="AB6" ca="1">MAX(IF(ISNUMBER(INDIRECT(_xlfn.CONCAT("'",Z6,"'!","C:C"))),ROW(INDIRECT(_xlfn.CONCAT("'",Z6,"'!","C:C")))))</f>
        <v>0</v>
      </c>
      <c r="AC6" s="84" t="s">
        <v>95</v>
      </c>
      <c r="AD6" s="90">
        <f ca="1">MATCH("TOTALS",'Daily Sales Tracker'!$C:$C,0)-11</f>
        <v>22</v>
      </c>
      <c r="AE6" s="76">
        <f ca="1">MATCH("TOTALS",'Daily Sales Tracker'!$C:$C,0)-11</f>
        <v>22</v>
      </c>
      <c r="AF6" s="76">
        <f ca="1">MATCH("TOTALS",'Daily Sales Tracker'!$C:$C,0)-11</f>
        <v>22</v>
      </c>
      <c r="AG6" s="76">
        <f ca="1">MATCH("TOTALS",'Daily Sales Tracker'!$C:$C,0)-11</f>
        <v>22</v>
      </c>
      <c r="AH6" s="76">
        <f ca="1">MATCH("TOTALS",'Daily Sales Tracker'!$C:$C,0)-11</f>
        <v>22</v>
      </c>
      <c r="AL6" s="39" t="str" cm="1">
        <f t="array" aca="1" ref="AL6" ca="1">INDIRECT(_xlfn.CONCAT("'Order Tracker'!G",AL4))</f>
        <v>CLIENT
(select to see sheet)</v>
      </c>
    </row>
    <row r="7" spans="1:39" ht="17" thickBot="1" x14ac:dyDescent="0.25">
      <c r="A7" s="1" t="s">
        <v>21</v>
      </c>
      <c r="B7" s="39" t="s">
        <v>64</v>
      </c>
      <c r="C7">
        <v>6</v>
      </c>
      <c r="D7">
        <f ca="1"/>
        <v>6</v>
      </c>
      <c r="E7">
        <v>8</v>
      </c>
      <c r="G7" s="62" t="s">
        <v>74</v>
      </c>
      <c r="H7" s="63">
        <f ca="1">MAX(INDIRECT(_xlfn.CONCAT("H4:",ADDRESS(ROW()-1,8,4))))+1</f>
        <v>4</v>
      </c>
      <c r="J7" s="51" t="s">
        <v>20</v>
      </c>
      <c r="K7" s="53">
        <v>5</v>
      </c>
      <c r="L7" s="41"/>
      <c r="Q7" s="48" t="str">
        <f>'Item Prices'!D25</f>
        <v>NAILS</v>
      </c>
      <c r="R7" s="58">
        <v>5</v>
      </c>
      <c r="S7" s="58"/>
      <c r="U7" s="60" t="str">
        <f t="shared" si="0"/>
        <v>NAILS</v>
      </c>
      <c r="V7" s="51">
        <f>'Item Prices'!G25</f>
        <v>35</v>
      </c>
      <c r="W7" s="60"/>
      <c r="Z7" s="74"/>
      <c r="AB7" s="58" cm="1">
        <f t="array" aca="1" ref="AB7" ca="1">MAX(IF(ISNUMBER(INDIRECT(_xlfn.CONCAT("'",Z7,"'!","C:C"))),ROW(INDIRECT(_xlfn.CONCAT("'",Z7,"'!","C:C")))))</f>
        <v>0</v>
      </c>
      <c r="AC7" s="89" t="s">
        <v>97</v>
      </c>
      <c r="AD7" s="91" t="str">
        <f ca="1">IF(AND(AD6&gt;AD5,AD6&lt;=22),"N/A",AD5-AD6+1)</f>
        <v>N/A</v>
      </c>
      <c r="AE7" s="91" t="str">
        <f t="shared" ref="AE7:AH7" ca="1" si="1">IF(AND(AE6&gt;AE5,AE6&lt;=22),"N/A",AE5-AE6+1)</f>
        <v>N/A</v>
      </c>
      <c r="AF7" s="91" t="str">
        <f t="shared" ca="1" si="1"/>
        <v>N/A</v>
      </c>
      <c r="AG7" s="91" t="str">
        <f t="shared" ca="1" si="1"/>
        <v>N/A</v>
      </c>
      <c r="AH7" s="91" t="str">
        <f t="shared" ca="1" si="1"/>
        <v>N/A</v>
      </c>
    </row>
    <row r="8" spans="1:39" ht="17" thickBot="1" x14ac:dyDescent="0.25">
      <c r="A8" s="1" t="s">
        <v>22</v>
      </c>
      <c r="B8" s="39" t="s">
        <v>65</v>
      </c>
      <c r="C8">
        <v>7</v>
      </c>
      <c r="D8">
        <f ca="1"/>
        <v>7</v>
      </c>
      <c r="E8">
        <v>9</v>
      </c>
      <c r="J8" s="51" t="s">
        <v>64</v>
      </c>
      <c r="K8" s="53">
        <v>6</v>
      </c>
      <c r="L8" s="41"/>
      <c r="Q8" s="49" t="str">
        <f>'Item Prices'!D28</f>
        <v>MEASURING TAPE</v>
      </c>
      <c r="R8" s="66">
        <v>6</v>
      </c>
      <c r="S8" s="66"/>
      <c r="U8" s="45" t="str">
        <f t="shared" si="0"/>
        <v>MEASURING TAPE</v>
      </c>
      <c r="V8" s="52">
        <f>'Item Prices'!G28</f>
        <v>15</v>
      </c>
      <c r="W8" s="45"/>
      <c r="Z8" s="74"/>
      <c r="AB8" s="58" cm="1">
        <f t="array" aca="1" ref="AB8" ca="1">MAX(IF(ISNUMBER(INDIRECT(_xlfn.CONCAT("'",Z8,"'!","C:C"))),ROW(INDIRECT(_xlfn.CONCAT("'",Z8,"'!","C:C")))))</f>
        <v>0</v>
      </c>
    </row>
    <row r="9" spans="1:39" x14ac:dyDescent="0.2">
      <c r="A9" s="1" t="s">
        <v>23</v>
      </c>
      <c r="B9" s="39" t="s">
        <v>66</v>
      </c>
      <c r="C9">
        <v>8</v>
      </c>
      <c r="D9">
        <f ca="1"/>
        <v>8</v>
      </c>
      <c r="E9">
        <v>10</v>
      </c>
      <c r="J9" s="51" t="s">
        <v>65</v>
      </c>
      <c r="K9" s="53">
        <v>7</v>
      </c>
      <c r="L9" s="41"/>
      <c r="U9" s="68" t="str">
        <f t="shared" ref="U9:U14" si="2">Q3</f>
        <v>WRENCH</v>
      </c>
      <c r="V9" s="50">
        <f>'Item Prices'!J13</f>
        <v>40</v>
      </c>
      <c r="Z9" s="74"/>
      <c r="AB9" s="58" cm="1">
        <f t="array" aca="1" ref="AB9" ca="1">MAX(IF(ISNUMBER(INDIRECT(_xlfn.CONCAT("'",Z9,"'!","C:C"))),ROW(INDIRECT(_xlfn.CONCAT("'",Z9,"'!","C:C")))))</f>
        <v>0</v>
      </c>
    </row>
    <row r="10" spans="1:39" x14ac:dyDescent="0.2">
      <c r="A10" s="1" t="s">
        <v>24</v>
      </c>
      <c r="B10" s="39" t="s">
        <v>67</v>
      </c>
      <c r="C10">
        <v>9</v>
      </c>
      <c r="D10">
        <f ca="1"/>
        <v>9</v>
      </c>
      <c r="E10">
        <v>11</v>
      </c>
      <c r="J10" s="51" t="s">
        <v>66</v>
      </c>
      <c r="K10" s="53">
        <v>8</v>
      </c>
      <c r="L10" s="41"/>
      <c r="U10" s="60" t="str">
        <f t="shared" si="2"/>
        <v>HAMMER</v>
      </c>
      <c r="V10" s="51">
        <f>'Item Prices'!J16</f>
        <v>30</v>
      </c>
      <c r="Z10" s="74"/>
      <c r="AB10" s="58" cm="1">
        <f t="array" aca="1" ref="AB10" ca="1">MAX(IF(ISNUMBER(INDIRECT(_xlfn.CONCAT("'",Z10,"'!","C:C"))),ROW(INDIRECT(_xlfn.CONCAT("'",Z10,"'!","C:C")))))</f>
        <v>0</v>
      </c>
    </row>
    <row r="11" spans="1:39" x14ac:dyDescent="0.2">
      <c r="A11" s="1" t="s">
        <v>25</v>
      </c>
      <c r="B11" s="39" t="s">
        <v>68</v>
      </c>
      <c r="C11">
        <v>10</v>
      </c>
      <c r="D11">
        <f ca="1"/>
        <v>10</v>
      </c>
      <c r="E11">
        <v>12</v>
      </c>
      <c r="J11" s="51" t="s">
        <v>67</v>
      </c>
      <c r="K11" s="53">
        <v>9</v>
      </c>
      <c r="L11" s="41"/>
      <c r="U11" s="60" t="str">
        <f t="shared" si="2"/>
        <v>BUZZSAW</v>
      </c>
      <c r="V11" s="51">
        <f>'Item Prices'!J19</f>
        <v>75</v>
      </c>
      <c r="Z11" s="74"/>
      <c r="AB11" s="58" cm="1">
        <f t="array" aca="1" ref="AB11" ca="1">MAX(IF(ISNUMBER(INDIRECT(_xlfn.CONCAT("'",Z11,"'!","C:C"))),ROW(INDIRECT(_xlfn.CONCAT("'",Z11,"'!","C:C")))))</f>
        <v>0</v>
      </c>
    </row>
    <row r="12" spans="1:39" x14ac:dyDescent="0.2">
      <c r="A12" s="1" t="s">
        <v>26</v>
      </c>
      <c r="B12" s="39" t="s">
        <v>69</v>
      </c>
      <c r="C12">
        <v>11</v>
      </c>
      <c r="D12">
        <f ca="1"/>
        <v>11</v>
      </c>
      <c r="E12">
        <v>15</v>
      </c>
      <c r="J12" s="51" t="s">
        <v>68</v>
      </c>
      <c r="K12" s="53">
        <v>10</v>
      </c>
      <c r="L12" s="41"/>
      <c r="U12" s="60" t="str">
        <f t="shared" si="2"/>
        <v>SCREWDRIVER</v>
      </c>
      <c r="V12" s="51">
        <f>'Item Prices'!J22</f>
        <v>10</v>
      </c>
      <c r="Z12" s="74"/>
      <c r="AB12" s="58" cm="1">
        <f t="array" aca="1" ref="AB12" ca="1">MAX(IF(ISNUMBER(INDIRECT(_xlfn.CONCAT("'",Z12,"'!","C:C"))),ROW(INDIRECT(_xlfn.CONCAT("'",Z12,"'!","C:C")))))</f>
        <v>0</v>
      </c>
    </row>
    <row r="13" spans="1:39" ht="17" thickBot="1" x14ac:dyDescent="0.25">
      <c r="A13" s="2" t="s">
        <v>27</v>
      </c>
      <c r="B13" s="39" t="s">
        <v>70</v>
      </c>
      <c r="C13">
        <v>12</v>
      </c>
      <c r="D13">
        <f ca="1"/>
        <v>12</v>
      </c>
      <c r="E13">
        <v>16</v>
      </c>
      <c r="J13" s="51" t="s">
        <v>69</v>
      </c>
      <c r="K13" s="53">
        <v>11</v>
      </c>
      <c r="L13" s="41"/>
      <c r="U13" s="60" t="str">
        <f t="shared" si="2"/>
        <v>NAILS</v>
      </c>
      <c r="V13" s="51">
        <f>'Item Prices'!J25</f>
        <v>17.5</v>
      </c>
      <c r="Z13" s="74"/>
      <c r="AB13" s="58" cm="1">
        <f t="array" aca="1" ref="AB13" ca="1">MAX(IF(ISNUMBER(INDIRECT(_xlfn.CONCAT("'",Z13,"'!","C:C"))),ROW(INDIRECT(_xlfn.CONCAT("'",Z13,"'!","C:C")))))</f>
        <v>0</v>
      </c>
    </row>
    <row r="14" spans="1:39" ht="17" thickBot="1" x14ac:dyDescent="0.25">
      <c r="C14">
        <v>13</v>
      </c>
      <c r="D14">
        <f ca="1"/>
        <v>13</v>
      </c>
      <c r="E14">
        <v>17</v>
      </c>
      <c r="J14" s="52" t="s">
        <v>70</v>
      </c>
      <c r="K14" s="54">
        <v>12</v>
      </c>
      <c r="L14" s="41"/>
      <c r="U14" s="45" t="str">
        <f t="shared" si="2"/>
        <v>MEASURING TAPE</v>
      </c>
      <c r="V14" s="52">
        <f>'Item Prices'!J28</f>
        <v>7.5</v>
      </c>
      <c r="Z14" s="74"/>
      <c r="AB14" s="58" cm="1">
        <f t="array" aca="1" ref="AB14" ca="1">MAX(IF(ISNUMBER(INDIRECT(_xlfn.CONCAT("'",Z14,"'!","C:C"))),ROW(INDIRECT(_xlfn.CONCAT("'",Z14,"'!","C:C")))))</f>
        <v>0</v>
      </c>
    </row>
    <row r="15" spans="1:39" x14ac:dyDescent="0.2">
      <c r="C15">
        <v>14</v>
      </c>
      <c r="D15">
        <f ca="1"/>
        <v>14</v>
      </c>
      <c r="E15">
        <v>18</v>
      </c>
      <c r="Z15" s="74"/>
      <c r="AB15" s="58" cm="1">
        <f t="array" aca="1" ref="AB15" ca="1">MAX(IF(ISNUMBER(INDIRECT(_xlfn.CONCAT("'",Z15,"'!","C:C"))),ROW(INDIRECT(_xlfn.CONCAT("'",Z15,"'!","C:C")))))</f>
        <v>0</v>
      </c>
    </row>
    <row r="16" spans="1:39" x14ac:dyDescent="0.2">
      <c r="C16">
        <v>15</v>
      </c>
      <c r="D16">
        <f ca="1"/>
        <v>15</v>
      </c>
      <c r="E16">
        <v>19</v>
      </c>
      <c r="Z16" s="74"/>
      <c r="AB16" s="58" cm="1">
        <f t="array" aca="1" ref="AB16" ca="1">MAX(IF(ISNUMBER(INDIRECT(_xlfn.CONCAT("'",Z16,"'!","C:C"))),ROW(INDIRECT(_xlfn.CONCAT("'",Z16,"'!","C:C")))))</f>
        <v>0</v>
      </c>
    </row>
    <row r="17" spans="3:28" x14ac:dyDescent="0.2">
      <c r="C17">
        <v>16</v>
      </c>
      <c r="D17">
        <f ca="1"/>
        <v>16</v>
      </c>
      <c r="E17">
        <v>22</v>
      </c>
      <c r="Z17" s="74"/>
      <c r="AB17" s="58" cm="1">
        <f t="array" aca="1" ref="AB17" ca="1">MAX(IF(ISNUMBER(INDIRECT(_xlfn.CONCAT("'",Z17,"'!","C:C"))),ROW(INDIRECT(_xlfn.CONCAT("'",Z17,"'!","C:C")))))</f>
        <v>0</v>
      </c>
    </row>
    <row r="18" spans="3:28" x14ac:dyDescent="0.2">
      <c r="C18">
        <v>17</v>
      </c>
      <c r="D18">
        <f ca="1"/>
        <v>17</v>
      </c>
      <c r="E18">
        <v>23</v>
      </c>
      <c r="Z18" s="74"/>
      <c r="AB18" s="58" cm="1">
        <f t="array" aca="1" ref="AB18" ca="1">MAX(IF(ISNUMBER(INDIRECT(_xlfn.CONCAT("'",Z18,"'!","C:C"))),ROW(INDIRECT(_xlfn.CONCAT("'",Z18,"'!","C:C")))))</f>
        <v>0</v>
      </c>
    </row>
    <row r="19" spans="3:28" x14ac:dyDescent="0.2">
      <c r="C19">
        <v>18</v>
      </c>
      <c r="D19">
        <f ca="1"/>
        <v>18</v>
      </c>
      <c r="E19">
        <v>24</v>
      </c>
      <c r="Z19" s="74"/>
      <c r="AB19" s="58" cm="1">
        <f t="array" aca="1" ref="AB19" ca="1">MAX(IF(ISNUMBER(INDIRECT(_xlfn.CONCAT("'",Z19,"'!","C:C"))),ROW(INDIRECT(_xlfn.CONCAT("'",Z19,"'!","C:C")))))</f>
        <v>0</v>
      </c>
    </row>
    <row r="20" spans="3:28" x14ac:dyDescent="0.2">
      <c r="C20">
        <v>19</v>
      </c>
      <c r="D20">
        <f ca="1"/>
        <v>19</v>
      </c>
      <c r="E20">
        <v>25</v>
      </c>
      <c r="Z20" s="74"/>
      <c r="AB20" s="58" cm="1">
        <f t="array" aca="1" ref="AB20" ca="1">MAX(IF(ISNUMBER(INDIRECT(_xlfn.CONCAT("'",Z20,"'!","C:C"))),ROW(INDIRECT(_xlfn.CONCAT("'",Z20,"'!","C:C")))))</f>
        <v>0</v>
      </c>
    </row>
    <row r="21" spans="3:28" x14ac:dyDescent="0.2">
      <c r="C21">
        <v>20</v>
      </c>
      <c r="D21">
        <f ca="1"/>
        <v>20</v>
      </c>
      <c r="E21">
        <v>26</v>
      </c>
      <c r="Z21" s="74"/>
      <c r="AB21" s="58" cm="1">
        <f t="array" aca="1" ref="AB21" ca="1">MAX(IF(ISNUMBER(INDIRECT(_xlfn.CONCAT("'",Z21,"'!","C:C"))),ROW(INDIRECT(_xlfn.CONCAT("'",Z21,"'!","C:C")))))</f>
        <v>0</v>
      </c>
    </row>
    <row r="22" spans="3:28" x14ac:dyDescent="0.2">
      <c r="C22">
        <v>21</v>
      </c>
      <c r="D22">
        <f ca="1"/>
        <v>21</v>
      </c>
      <c r="E22">
        <v>29</v>
      </c>
      <c r="Z22" s="74"/>
      <c r="AB22" s="58" cm="1">
        <f t="array" aca="1" ref="AB22" ca="1">MAX(IF(ISNUMBER(INDIRECT(_xlfn.CONCAT("'",Z22,"'!","C:C"))),ROW(INDIRECT(_xlfn.CONCAT("'",Z22,"'!","C:C")))))</f>
        <v>0</v>
      </c>
    </row>
    <row r="23" spans="3:28" x14ac:dyDescent="0.2">
      <c r="C23">
        <v>22</v>
      </c>
      <c r="D23">
        <f ca="1"/>
        <v>22</v>
      </c>
      <c r="E23">
        <v>30</v>
      </c>
      <c r="Z23" s="74"/>
      <c r="AB23" s="58" cm="1">
        <f t="array" aca="1" ref="AB23" ca="1">MAX(IF(ISNUMBER(INDIRECT(_xlfn.CONCAT("'",Z23,"'!","C:C"))),ROW(INDIRECT(_xlfn.CONCAT("'",Z23,"'!","C:C")))))</f>
        <v>0</v>
      </c>
    </row>
    <row r="24" spans="3:28" x14ac:dyDescent="0.2">
      <c r="C24">
        <v>23</v>
      </c>
      <c r="D24">
        <f ca="1"/>
        <v>23</v>
      </c>
      <c r="Z24" s="74"/>
      <c r="AB24" s="58" cm="1">
        <f t="array" aca="1" ref="AB24" ca="1">MAX(IF(ISNUMBER(INDIRECT(_xlfn.CONCAT("'",Z24,"'!","C:C"))),ROW(INDIRECT(_xlfn.CONCAT("'",Z24,"'!","C:C")))))</f>
        <v>0</v>
      </c>
    </row>
    <row r="25" spans="3:28" x14ac:dyDescent="0.2">
      <c r="C25">
        <v>24</v>
      </c>
      <c r="D25">
        <f ca="1"/>
        <v>24</v>
      </c>
      <c r="E25" s="40"/>
      <c r="F25" s="40"/>
      <c r="Z25" s="74"/>
      <c r="AB25" s="58" cm="1">
        <f t="array" aca="1" ref="AB25" ca="1">MAX(IF(ISNUMBER(INDIRECT(_xlfn.CONCAT("'",Z25,"'!","C:C"))),ROW(INDIRECT(_xlfn.CONCAT("'",Z25,"'!","C:C")))))</f>
        <v>0</v>
      </c>
    </row>
    <row r="26" spans="3:28" x14ac:dyDescent="0.2">
      <c r="C26">
        <v>25</v>
      </c>
      <c r="D26">
        <f ca="1"/>
        <v>25</v>
      </c>
      <c r="E26" s="40"/>
      <c r="F26" s="40"/>
      <c r="Z26" s="74"/>
      <c r="AB26" s="58" cm="1">
        <f t="array" aca="1" ref="AB26" ca="1">MAX(IF(ISNUMBER(INDIRECT(_xlfn.CONCAT("'",Z26,"'!","C:C"))),ROW(INDIRECT(_xlfn.CONCAT("'",Z26,"'!","C:C")))))</f>
        <v>0</v>
      </c>
    </row>
    <row r="27" spans="3:28" x14ac:dyDescent="0.2">
      <c r="C27">
        <v>26</v>
      </c>
      <c r="D27">
        <f ca="1"/>
        <v>26</v>
      </c>
      <c r="E27" s="40"/>
      <c r="F27" s="40"/>
      <c r="Z27" s="74"/>
      <c r="AB27" s="58" cm="1">
        <f t="array" aca="1" ref="AB27" ca="1">MAX(IF(ISNUMBER(INDIRECT(_xlfn.CONCAT("'",Z27,"'!","C:C"))),ROW(INDIRECT(_xlfn.CONCAT("'",Z27,"'!","C:C")))))</f>
        <v>0</v>
      </c>
    </row>
    <row r="28" spans="3:28" x14ac:dyDescent="0.2">
      <c r="C28">
        <v>27</v>
      </c>
      <c r="D28">
        <f ca="1"/>
        <v>27</v>
      </c>
      <c r="E28" s="40"/>
      <c r="F28" s="40"/>
      <c r="Z28" s="74"/>
      <c r="AB28" s="58" cm="1">
        <f t="array" aca="1" ref="AB28" ca="1">MAX(IF(ISNUMBER(INDIRECT(_xlfn.CONCAT("'",Z28,"'!","C:C"))),ROW(INDIRECT(_xlfn.CONCAT("'",Z28,"'!","C:C")))))</f>
        <v>0</v>
      </c>
    </row>
    <row r="29" spans="3:28" x14ac:dyDescent="0.2">
      <c r="C29">
        <v>28</v>
      </c>
      <c r="D29">
        <f ca="1"/>
        <v>28</v>
      </c>
      <c r="E29" s="40"/>
      <c r="F29" s="40"/>
      <c r="Z29" s="74"/>
      <c r="AB29" s="58" cm="1">
        <f t="array" aca="1" ref="AB29" ca="1">MAX(IF(ISNUMBER(INDIRECT(_xlfn.CONCAT("'",Z29,"'!","C:C"))),ROW(INDIRECT(_xlfn.CONCAT("'",Z29,"'!","C:C")))))</f>
        <v>0</v>
      </c>
    </row>
    <row r="30" spans="3:28" x14ac:dyDescent="0.2">
      <c r="C30">
        <v>29</v>
      </c>
      <c r="D30">
        <f ca="1"/>
        <v>29</v>
      </c>
      <c r="E30" s="40"/>
      <c r="F30" s="40"/>
      <c r="Z30" s="74"/>
      <c r="AB30" s="58" cm="1">
        <f t="array" aca="1" ref="AB30" ca="1">MAX(IF(ISNUMBER(INDIRECT(_xlfn.CONCAT("'",Z30,"'!","C:C"))),ROW(INDIRECT(_xlfn.CONCAT("'",Z30,"'!","C:C")))))</f>
        <v>0</v>
      </c>
    </row>
    <row r="31" spans="3:28" x14ac:dyDescent="0.2">
      <c r="C31">
        <v>30</v>
      </c>
      <c r="D31">
        <f ca="1"/>
        <v>30</v>
      </c>
      <c r="E31" s="40"/>
      <c r="F31" s="40"/>
      <c r="Z31" s="74"/>
      <c r="AB31" s="58" cm="1">
        <f t="array" aca="1" ref="AB31" ca="1">MAX(IF(ISNUMBER(INDIRECT(_xlfn.CONCAT("'",Z31,"'!","C:C"))),ROW(INDIRECT(_xlfn.CONCAT("'",Z31,"'!","C:C")))))</f>
        <v>0</v>
      </c>
    </row>
    <row r="32" spans="3:28" x14ac:dyDescent="0.2">
      <c r="E32" s="40"/>
      <c r="F32" s="40"/>
      <c r="Z32" s="74"/>
      <c r="AB32" s="58" cm="1">
        <f t="array" aca="1" ref="AB32" ca="1">MAX(IF(ISNUMBER(INDIRECT(_xlfn.CONCAT("'",Z32,"'!","C:C"))),ROW(INDIRECT(_xlfn.CONCAT("'",Z32,"'!","C:C")))))</f>
        <v>0</v>
      </c>
    </row>
    <row r="33" spans="26:28" x14ac:dyDescent="0.2">
      <c r="Z33" s="74"/>
      <c r="AB33" s="58" cm="1">
        <f t="array" aca="1" ref="AB33" ca="1">MAX(IF(ISNUMBER(INDIRECT(_xlfn.CONCAT("'",Z33,"'!","C:C"))),ROW(INDIRECT(_xlfn.CONCAT("'",Z33,"'!","C:C")))))</f>
        <v>0</v>
      </c>
    </row>
    <row r="34" spans="26:28" x14ac:dyDescent="0.2">
      <c r="Z34" s="74"/>
      <c r="AB34" s="58" cm="1">
        <f t="array" aca="1" ref="AB34" ca="1">MAX(IF(ISNUMBER(INDIRECT(_xlfn.CONCAT("'",Z34,"'!","C:C"))),ROW(INDIRECT(_xlfn.CONCAT("'",Z34,"'!","C:C")))))</f>
        <v>0</v>
      </c>
    </row>
    <row r="35" spans="26:28" x14ac:dyDescent="0.2">
      <c r="Z35" s="74"/>
      <c r="AB35" s="58" cm="1">
        <f t="array" aca="1" ref="AB35" ca="1">MAX(IF(ISNUMBER(INDIRECT(_xlfn.CONCAT("'",Z35,"'!","C:C"))),ROW(INDIRECT(_xlfn.CONCAT("'",Z35,"'!","C:C")))))</f>
        <v>0</v>
      </c>
    </row>
    <row r="36" spans="26:28" x14ac:dyDescent="0.2">
      <c r="Z36" s="74"/>
      <c r="AB36" s="58" cm="1">
        <f t="array" aca="1" ref="AB36" ca="1">MAX(IF(ISNUMBER(INDIRECT(_xlfn.CONCAT("'",Z36,"'!","C:C"))),ROW(INDIRECT(_xlfn.CONCAT("'",Z36,"'!","C:C")))))</f>
        <v>0</v>
      </c>
    </row>
    <row r="37" spans="26:28" x14ac:dyDescent="0.2">
      <c r="Z37" s="74"/>
      <c r="AB37" s="58" cm="1">
        <f t="array" aca="1" ref="AB37" ca="1">MAX(IF(ISNUMBER(INDIRECT(_xlfn.CONCAT("'",Z37,"'!","C:C"))),ROW(INDIRECT(_xlfn.CONCAT("'",Z37,"'!","C:C")))))</f>
        <v>0</v>
      </c>
    </row>
    <row r="38" spans="26:28" x14ac:dyDescent="0.2">
      <c r="Z38" s="74"/>
      <c r="AB38" s="58" cm="1">
        <f t="array" aca="1" ref="AB38" ca="1">MAX(IF(ISNUMBER(INDIRECT(_xlfn.CONCAT("'",Z38,"'!","C:C"))),ROW(INDIRECT(_xlfn.CONCAT("'",Z38,"'!","C:C")))))</f>
        <v>0</v>
      </c>
    </row>
    <row r="39" spans="26:28" x14ac:dyDescent="0.2">
      <c r="Z39" s="74"/>
      <c r="AB39" s="58" cm="1">
        <f t="array" aca="1" ref="AB39" ca="1">MAX(IF(ISNUMBER(INDIRECT(_xlfn.CONCAT("'",Z39,"'!","C:C"))),ROW(INDIRECT(_xlfn.CONCAT("'",Z39,"'!","C:C")))))</f>
        <v>0</v>
      </c>
    </row>
    <row r="40" spans="26:28" x14ac:dyDescent="0.2">
      <c r="Z40" s="74"/>
      <c r="AB40" s="58" cm="1">
        <f t="array" aca="1" ref="AB40" ca="1">MAX(IF(ISNUMBER(INDIRECT(_xlfn.CONCAT("'",Z40,"'!","C:C"))),ROW(INDIRECT(_xlfn.CONCAT("'",Z40,"'!","C:C")))))</f>
        <v>0</v>
      </c>
    </row>
    <row r="41" spans="26:28" x14ac:dyDescent="0.2">
      <c r="Z41" s="74"/>
      <c r="AB41" s="58" cm="1">
        <f t="array" aca="1" ref="AB41" ca="1">MAX(IF(ISNUMBER(INDIRECT(_xlfn.CONCAT("'",Z41,"'!","C:C"))),ROW(INDIRECT(_xlfn.CONCAT("'",Z41,"'!","C:C")))))</f>
        <v>0</v>
      </c>
    </row>
    <row r="42" spans="26:28" x14ac:dyDescent="0.2">
      <c r="Z42" s="74"/>
      <c r="AB42" s="58" cm="1">
        <f t="array" aca="1" ref="AB42" ca="1">MAX(IF(ISNUMBER(INDIRECT(_xlfn.CONCAT("'",Z42,"'!","C:C"))),ROW(INDIRECT(_xlfn.CONCAT("'",Z42,"'!","C:C")))))</f>
        <v>0</v>
      </c>
    </row>
    <row r="43" spans="26:28" x14ac:dyDescent="0.2">
      <c r="Z43" s="74"/>
      <c r="AB43" s="58" cm="1">
        <f t="array" aca="1" ref="AB43" ca="1">MAX(IF(ISNUMBER(INDIRECT(_xlfn.CONCAT("'",Z43,"'!","C:C"))),ROW(INDIRECT(_xlfn.CONCAT("'",Z43,"'!","C:C")))))</f>
        <v>0</v>
      </c>
    </row>
    <row r="44" spans="26:28" x14ac:dyDescent="0.2">
      <c r="Z44" s="74"/>
      <c r="AB44" s="58" cm="1">
        <f t="array" aca="1" ref="AB44" ca="1">MAX(IF(ISNUMBER(INDIRECT(_xlfn.CONCAT("'",Z44,"'!","C:C"))),ROW(INDIRECT(_xlfn.CONCAT("'",Z44,"'!","C:C")))))</f>
        <v>0</v>
      </c>
    </row>
    <row r="45" spans="26:28" x14ac:dyDescent="0.2">
      <c r="Z45" s="74"/>
      <c r="AB45" s="58" cm="1">
        <f t="array" aca="1" ref="AB45" ca="1">MAX(IF(ISNUMBER(INDIRECT(_xlfn.CONCAT("'",Z45,"'!","C:C"))),ROW(INDIRECT(_xlfn.CONCAT("'",Z45,"'!","C:C")))))</f>
        <v>0</v>
      </c>
    </row>
    <row r="46" spans="26:28" x14ac:dyDescent="0.2">
      <c r="Z46" s="74"/>
      <c r="AB46" s="58" cm="1">
        <f t="array" aca="1" ref="AB46" ca="1">MAX(IF(ISNUMBER(INDIRECT(_xlfn.CONCAT("'",Z46,"'!","C:C"))),ROW(INDIRECT(_xlfn.CONCAT("'",Z46,"'!","C:C")))))</f>
        <v>0</v>
      </c>
    </row>
    <row r="47" spans="26:28" x14ac:dyDescent="0.2">
      <c r="Z47" s="74"/>
      <c r="AB47" s="58" cm="1">
        <f t="array" aca="1" ref="AB47" ca="1">MAX(IF(ISNUMBER(INDIRECT(_xlfn.CONCAT("'",Z47,"'!","C:C"))),ROW(INDIRECT(_xlfn.CONCAT("'",Z47,"'!","C:C")))))</f>
        <v>0</v>
      </c>
    </row>
    <row r="48" spans="26:28" x14ac:dyDescent="0.2">
      <c r="Z48" s="74"/>
      <c r="AB48" s="58" cm="1">
        <f t="array" aca="1" ref="AB48" ca="1">MAX(IF(ISNUMBER(INDIRECT(_xlfn.CONCAT("'",Z48,"'!","C:C"))),ROW(INDIRECT(_xlfn.CONCAT("'",Z48,"'!","C:C")))))</f>
        <v>0</v>
      </c>
    </row>
    <row r="49" spans="26:28" x14ac:dyDescent="0.2">
      <c r="Z49" s="74"/>
      <c r="AB49" s="58" cm="1">
        <f t="array" aca="1" ref="AB49" ca="1">MAX(IF(ISNUMBER(INDIRECT(_xlfn.CONCAT("'",Z49,"'!","C:C"))),ROW(INDIRECT(_xlfn.CONCAT("'",Z49,"'!","C:C")))))</f>
        <v>0</v>
      </c>
    </row>
    <row r="50" spans="26:28" ht="17" thickBot="1" x14ac:dyDescent="0.25">
      <c r="Z50" s="87"/>
      <c r="AA50" s="88"/>
      <c r="AB50" s="66" cm="1">
        <f t="array" aca="1" ref="AB50" ca="1">MAX(IF(ISNUMBER(INDIRECT(_xlfn.CONCAT("'",Z50,"'!","C:C"))),ROW(INDIRECT(_xlfn.CONCAT("'",Z50,"'!","C:C")))))</f>
        <v>0</v>
      </c>
    </row>
  </sheetData>
  <mergeCells count="8">
    <mergeCell ref="AD2:AH2"/>
    <mergeCell ref="B1:E1"/>
    <mergeCell ref="M2:N2"/>
    <mergeCell ref="U2:W2"/>
    <mergeCell ref="O2:P2"/>
    <mergeCell ref="J2:L2"/>
    <mergeCell ref="G2:I2"/>
    <mergeCell ref="Q2:S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Sales Entry Portal</vt:lpstr>
      <vt:lpstr>Order Tracker</vt:lpstr>
      <vt:lpstr>Daily Sales Tracker</vt:lpstr>
      <vt:lpstr>Monthly Revenues</vt:lpstr>
      <vt:lpstr>Item Prices</vt:lpstr>
      <vt:lpstr>Client 3</vt:lpstr>
      <vt:lpstr>Client 2</vt:lpstr>
      <vt:lpstr>Client 1</vt:lpstr>
      <vt:lpstr>Page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Asher Morton</dc:creator>
  <cp:lastModifiedBy>Asher Morton</cp:lastModifiedBy>
  <dcterms:created xsi:type="dcterms:W3CDTF">2025-07-30T15:34:45Z</dcterms:created>
  <dcterms:modified xsi:type="dcterms:W3CDTF">2025-09-21T00:52:44Z</dcterms:modified>
</cp:coreProperties>
</file>